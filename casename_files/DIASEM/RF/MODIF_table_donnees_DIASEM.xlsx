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<sst xmlns="http://schemas.openxmlformats.org/spreadsheetml/2006/main" count="80" uniqueCount="78">
  <si>
    <t xml:space="preserve">ID_patient</t>
  </si>
  <si>
    <t xml:space="preserve">Age</t>
  </si>
  <si>
    <t xml:space="preserve">Poids</t>
  </si>
  <si>
    <t xml:space="preserve">Perte_poids</t>
  </si>
  <si>
    <t xml:space="preserve">Sexe</t>
  </si>
  <si>
    <t xml:space="preserve">BMI</t>
  </si>
  <si>
    <t xml:space="preserve">MNA_tot</t>
  </si>
  <si>
    <t xml:space="preserve">Vmarche</t>
  </si>
  <si>
    <t xml:space="preserve">Hand_grip</t>
  </si>
  <si>
    <t xml:space="preserve">Volume_TA</t>
  </si>
  <si>
    <t xml:space="preserve">Volume_RF</t>
  </si>
  <si>
    <t xml:space="preserve">Volume_VL</t>
  </si>
  <si>
    <t xml:space="preserve">ASMM_BIA</t>
  </si>
  <si>
    <t xml:space="preserve">Sarcopenia</t>
  </si>
  <si>
    <t xml:space="preserve">Sarcopenie_TA</t>
  </si>
  <si>
    <t xml:space="preserve">Charlson_sansage</t>
  </si>
  <si>
    <t xml:space="preserve">ADL_initial</t>
  </si>
  <si>
    <t xml:space="preserve">AL135</t>
  </si>
  <si>
    <t xml:space="preserve">AM112</t>
  </si>
  <si>
    <t xml:space="preserve">BA122</t>
  </si>
  <si>
    <t xml:space="preserve">BA137</t>
  </si>
  <si>
    <t xml:space="preserve">BC167</t>
  </si>
  <si>
    <t xml:space="preserve">BH116</t>
  </si>
  <si>
    <t xml:space="preserve">BJ128</t>
  </si>
  <si>
    <t xml:space="preserve">BM103</t>
  </si>
  <si>
    <t xml:space="preserve">BP149</t>
  </si>
  <si>
    <t xml:space="preserve">CG115</t>
  </si>
  <si>
    <t xml:space="preserve">CG147</t>
  </si>
  <si>
    <t xml:space="preserve">CR159</t>
  </si>
  <si>
    <t xml:space="preserve">CS102</t>
  </si>
  <si>
    <t xml:space="preserve">CY164</t>
  </si>
  <si>
    <t xml:space="preserve">DB145</t>
  </si>
  <si>
    <t xml:space="preserve">DH156</t>
  </si>
  <si>
    <t xml:space="preserve">DJ101</t>
  </si>
  <si>
    <t xml:space="preserve">DI154</t>
  </si>
  <si>
    <t xml:space="preserve">DO125</t>
  </si>
  <si>
    <t xml:space="preserve">DP172</t>
  </si>
  <si>
    <t xml:space="preserve">PAS DE TA</t>
  </si>
  <si>
    <t xml:space="preserve">DR160</t>
  </si>
  <si>
    <t xml:space="preserve">EM151</t>
  </si>
  <si>
    <t xml:space="preserve">EP105</t>
  </si>
  <si>
    <t xml:space="preserve">FD121</t>
  </si>
  <si>
    <t xml:space="preserve">FM144</t>
  </si>
  <si>
    <t xml:space="preserve">FO117</t>
  </si>
  <si>
    <t xml:space="preserve">GD123</t>
  </si>
  <si>
    <t xml:space="preserve">GD171</t>
  </si>
  <si>
    <t xml:space="preserve">GG131</t>
  </si>
  <si>
    <t xml:space="preserve">GG140</t>
  </si>
  <si>
    <t xml:space="preserve">HM124</t>
  </si>
  <si>
    <t xml:space="preserve">IJ157</t>
  </si>
  <si>
    <t xml:space="preserve">JJ142</t>
  </si>
  <si>
    <t xml:space="preserve">LA134</t>
  </si>
  <si>
    <t xml:space="preserve">LA162</t>
  </si>
  <si>
    <t xml:space="preserve">LE120</t>
  </si>
  <si>
    <t xml:space="preserve">LJ139</t>
  </si>
  <si>
    <t xml:space="preserve">LJ168</t>
  </si>
  <si>
    <t xml:space="preserve">LP133</t>
  </si>
  <si>
    <t xml:space="preserve">MA113</t>
  </si>
  <si>
    <t xml:space="preserve">MA119</t>
  </si>
  <si>
    <t xml:space="preserve">MM170</t>
  </si>
  <si>
    <t xml:space="preserve">PG161</t>
  </si>
  <si>
    <t xml:space="preserve">PJ165</t>
  </si>
  <si>
    <t xml:space="preserve">PL158</t>
  </si>
  <si>
    <t xml:space="preserve">PP104</t>
  </si>
  <si>
    <t xml:space="preserve">QP108</t>
  </si>
  <si>
    <t xml:space="preserve">RA126</t>
  </si>
  <si>
    <t xml:space="preserve">RA150</t>
  </si>
  <si>
    <t xml:space="preserve">RD132</t>
  </si>
  <si>
    <t xml:space="preserve">RF148</t>
  </si>
  <si>
    <t xml:space="preserve">RJ109</t>
  </si>
  <si>
    <t xml:space="preserve">RJ136</t>
  </si>
  <si>
    <t xml:space="preserve">RY166</t>
  </si>
  <si>
    <t xml:space="preserve">SC146</t>
  </si>
  <si>
    <t xml:space="preserve">SM127</t>
  </si>
  <si>
    <t xml:space="preserve">SS130</t>
  </si>
  <si>
    <t xml:space="preserve">TC152</t>
  </si>
  <si>
    <t xml:space="preserve">TT129</t>
  </si>
  <si>
    <t xml:space="preserve">ZS153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</si>
</sst>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TRUE&quot;;&quot;TRUE&quot;;&quot;FALSE&quot;"/>
    <numFmt numFmtId="166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B4C7DC"/>
      </patternFill>
    </fill>
    <fill>
      <patternFill patternType="solid">
        <fgColor rgb="FF81D41A"/>
        <bgColor rgb="FF969696"/>
      </patternFill>
    </fill>
    <fill>
      <patternFill patternType="solid">
        <fgColor rgb="FFFF0000"/>
        <bgColor rgb="FF993300"/>
      </patternFill>
    </fill>
    <fill>
      <patternFill patternType="solid">
        <fgColor rgb="FFB4C7DC"/>
        <bgColor rgb="FFCC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2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R52" activeCellId="0" sqref="R52"/>
    </sheetView>
  </sheetViews>
  <sheetFormatPr defaultColWidth="8.5390625" defaultRowHeight="15" zeroHeight="false" outlineLevelRow="0" outlineLevelCol="0"/>
  <cols>
    <col collapsed="false" customWidth="true" hidden="false" outlineLevel="0" max="14" min="14" style="1" width="29.66"/>
    <col collapsed="false" customWidth="true" hidden="false" outlineLevel="0" max="15" min="15" style="2" width="18.86"/>
  </cols>
  <sheetData>
    <row r="1" s="3" customFormat="tru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3" t="s">
        <v>16</v>
      </c>
    </row>
    <row r="2" customFormat="false" ht="14.9" hidden="false" customHeight="false" outlineLevel="0" collapsed="false">
      <c r="A2" s="5" t="s">
        <v>17</v>
      </c>
      <c r="B2" s="1" t="n">
        <v>80</v>
      </c>
      <c r="C2" s="1" t="n">
        <v>48.4</v>
      </c>
      <c r="D2" s="6" t="b">
        <f aca="false">FALSE()</f>
        <v>0</v>
      </c>
      <c r="E2" s="6" t="b">
        <f aca="false">FALSE()</f>
        <v>0</v>
      </c>
      <c r="F2" s="1" t="n">
        <v>18.90625</v>
      </c>
      <c r="G2" s="1" t="n">
        <v>20</v>
      </c>
      <c r="H2" s="1" t="n">
        <v>0.8</v>
      </c>
      <c r="I2" s="1" t="n">
        <v>11.8</v>
      </c>
      <c r="J2" s="1" t="n">
        <v>145</v>
      </c>
      <c r="K2" s="1" t="n">
        <v>97</v>
      </c>
      <c r="L2" s="1" t="n">
        <v>170</v>
      </c>
      <c r="M2" s="1" t="n">
        <v>13.6798405594406</v>
      </c>
      <c r="N2" s="6" t="b">
        <f aca="false">TRUE()</f>
        <v>1</v>
      </c>
      <c r="O2" s="7" t="b">
        <f aca="false">TRUE()</f>
        <v>1</v>
      </c>
      <c r="P2" s="1" t="n">
        <v>0</v>
      </c>
      <c r="Q2" s="1" t="n">
        <v>6</v>
      </c>
    </row>
    <row r="3" customFormat="false" ht="14.9" hidden="false" customHeight="false" outlineLevel="0" collapsed="false">
      <c r="A3" s="5" t="s">
        <v>18</v>
      </c>
      <c r="B3" s="1" t="n">
        <v>82</v>
      </c>
      <c r="C3" s="1" t="n">
        <v>61</v>
      </c>
      <c r="D3" s="6" t="b">
        <f aca="false">FALSE()</f>
        <v>0</v>
      </c>
      <c r="E3" s="6" t="b">
        <f aca="false">TRUE()</f>
        <v>1</v>
      </c>
      <c r="F3" s="1" t="n">
        <v>22.4058769513315</v>
      </c>
      <c r="G3" s="1" t="n">
        <v>18.5</v>
      </c>
      <c r="H3" s="1" t="n">
        <v>0.6</v>
      </c>
      <c r="I3" s="1" t="n">
        <v>24.8</v>
      </c>
      <c r="J3" s="1" t="n">
        <v>214</v>
      </c>
      <c r="K3" s="1" t="n">
        <v>129</v>
      </c>
      <c r="L3" s="1" t="n">
        <v>277</v>
      </c>
      <c r="M3" s="1" t="n">
        <v>18.9501960526316</v>
      </c>
      <c r="N3" s="6" t="b">
        <f aca="false">TRUE()</f>
        <v>1</v>
      </c>
      <c r="O3" s="7" t="b">
        <f aca="false">FALSE()</f>
        <v>0</v>
      </c>
      <c r="P3" s="1" t="n">
        <v>4</v>
      </c>
      <c r="Q3" s="1" t="n">
        <v>5.5</v>
      </c>
    </row>
    <row r="4" customFormat="false" ht="15" hidden="false" customHeight="false" outlineLevel="0" collapsed="false">
      <c r="A4" s="1" t="s">
        <v>19</v>
      </c>
      <c r="B4" s="1" t="n">
        <v>83</v>
      </c>
      <c r="C4" s="1" t="n">
        <v>63</v>
      </c>
      <c r="D4" s="6" t="b">
        <f aca="false">FALSE()</f>
        <v>0</v>
      </c>
      <c r="E4" s="6" t="b">
        <f aca="false">FALSE()</f>
        <v>0</v>
      </c>
      <c r="F4" s="1" t="n">
        <v>26.2226847034339</v>
      </c>
      <c r="G4" s="1" t="n">
        <v>23.5</v>
      </c>
      <c r="I4" s="1" t="n">
        <v>14.7</v>
      </c>
      <c r="J4" s="1" t="n">
        <v>175</v>
      </c>
      <c r="K4" s="1" t="n">
        <v>103</v>
      </c>
      <c r="L4" s="1" t="n">
        <v>238</v>
      </c>
      <c r="M4" s="1" t="n">
        <v>15.2546687969925</v>
      </c>
      <c r="N4" s="6" t="b">
        <f aca="false">FALSE()</f>
        <v>0</v>
      </c>
      <c r="O4" s="7" t="b">
        <f aca="false">FALSE()</f>
        <v>0</v>
      </c>
      <c r="P4" s="1" t="n">
        <v>2</v>
      </c>
      <c r="Q4" s="1" t="n">
        <v>6</v>
      </c>
    </row>
    <row r="5" customFormat="false" ht="15" hidden="false" customHeight="false" outlineLevel="0" collapsed="false">
      <c r="A5" s="8" t="s">
        <v>20</v>
      </c>
      <c r="B5" s="1" t="n">
        <v>87</v>
      </c>
      <c r="C5" s="1" t="n">
        <v>48.3</v>
      </c>
      <c r="D5" s="6" t="b">
        <f aca="false">FALSE()</f>
        <v>0</v>
      </c>
      <c r="E5" s="6" t="b">
        <f aca="false">FALSE()</f>
        <v>0</v>
      </c>
      <c r="F5" s="1" t="n">
        <v>18.8671875</v>
      </c>
      <c r="G5" s="1" t="n">
        <v>19.5</v>
      </c>
      <c r="H5" s="1" t="n">
        <v>1</v>
      </c>
      <c r="I5" s="1" t="n">
        <v>15.6</v>
      </c>
      <c r="J5" s="1" t="n">
        <v>147</v>
      </c>
      <c r="K5" s="1" t="n">
        <v>83</v>
      </c>
      <c r="L5" s="1" t="n">
        <v>137</v>
      </c>
      <c r="M5" s="1" t="n">
        <v>13.2572031847134</v>
      </c>
      <c r="N5" s="6" t="b">
        <f aca="false">TRUE()</f>
        <v>1</v>
      </c>
      <c r="O5" s="7" t="b">
        <f aca="false">TRUE()</f>
        <v>1</v>
      </c>
      <c r="P5" s="1" t="n">
        <v>0</v>
      </c>
      <c r="Q5" s="1" t="n">
        <v>5.5</v>
      </c>
    </row>
    <row r="6" customFormat="false" ht="15" hidden="false" customHeight="false" outlineLevel="0" collapsed="false">
      <c r="A6" s="1" t="s">
        <v>21</v>
      </c>
      <c r="B6" s="1" t="n">
        <v>91</v>
      </c>
      <c r="C6" s="1" t="n">
        <v>73.1</v>
      </c>
      <c r="D6" s="6" t="b">
        <f aca="false">FALSE()</f>
        <v>0</v>
      </c>
      <c r="E6" s="6" t="b">
        <f aca="false">TRUE()</f>
        <v>1</v>
      </c>
      <c r="F6" s="1" t="n">
        <v>26.8503213957759</v>
      </c>
      <c r="G6" s="1" t="n">
        <v>26</v>
      </c>
      <c r="H6" s="1" t="n">
        <v>0.3</v>
      </c>
      <c r="I6" s="1" t="n">
        <v>22.9</v>
      </c>
      <c r="J6" s="1" t="n">
        <v>180</v>
      </c>
      <c r="K6" s="1" t="n">
        <v>104</v>
      </c>
      <c r="L6" s="1" t="n">
        <v>271</v>
      </c>
      <c r="M6" s="1" t="n">
        <v>20.3302602739726</v>
      </c>
      <c r="N6" s="6" t="b">
        <f aca="false">FALSE()</f>
        <v>0</v>
      </c>
      <c r="O6" s="7" t="b">
        <f aca="false">TRUE()</f>
        <v>1</v>
      </c>
      <c r="P6" s="1" t="n">
        <v>2</v>
      </c>
      <c r="Q6" s="1" t="n">
        <v>6</v>
      </c>
    </row>
    <row r="7" customFormat="false" ht="15" hidden="false" customHeight="false" outlineLevel="0" collapsed="false">
      <c r="A7" s="1" t="s">
        <v>22</v>
      </c>
      <c r="B7" s="1" t="n">
        <v>86</v>
      </c>
      <c r="C7" s="1" t="n">
        <v>41.1</v>
      </c>
      <c r="D7" s="6" t="b">
        <f aca="false">FALSE()</f>
        <v>0</v>
      </c>
      <c r="E7" s="6" t="b">
        <f aca="false">FALSE()</f>
        <v>0</v>
      </c>
      <c r="F7" s="1" t="n">
        <v>14.2214532871972</v>
      </c>
      <c r="G7" s="1" t="n">
        <v>17</v>
      </c>
      <c r="H7" s="1" t="n">
        <v>0.6</v>
      </c>
      <c r="I7" s="1" t="n">
        <v>23.1</v>
      </c>
      <c r="J7" s="1" t="n">
        <v>131</v>
      </c>
      <c r="K7" s="1" t="n">
        <v>79</v>
      </c>
      <c r="L7" s="1" t="n">
        <v>163</v>
      </c>
      <c r="M7" s="1" t="n">
        <v>18.564149475891</v>
      </c>
      <c r="N7" s="6" t="b">
        <f aca="false">FALSE()</f>
        <v>0</v>
      </c>
      <c r="O7" s="7" t="b">
        <f aca="false">FALSE()</f>
        <v>0</v>
      </c>
      <c r="P7" s="1" t="n">
        <v>3</v>
      </c>
      <c r="Q7" s="1" t="n">
        <v>6</v>
      </c>
    </row>
    <row r="8" customFormat="false" ht="15" hidden="false" customHeight="false" outlineLevel="0" collapsed="false">
      <c r="A8" s="1" t="s">
        <v>23</v>
      </c>
      <c r="B8" s="1" t="n">
        <v>81</v>
      </c>
      <c r="C8" s="1" t="n">
        <v>65.6</v>
      </c>
      <c r="D8" s="6" t="b">
        <f aca="false">FALSE()</f>
        <v>0</v>
      </c>
      <c r="E8" s="6" t="b">
        <f aca="false">TRUE()</f>
        <v>1</v>
      </c>
      <c r="F8" s="1" t="n">
        <v>22.6989619377163</v>
      </c>
      <c r="G8" s="1" t="n">
        <v>17</v>
      </c>
      <c r="H8" s="1" t="n">
        <v>0.57</v>
      </c>
      <c r="I8" s="1" t="n">
        <v>28.7</v>
      </c>
      <c r="J8" s="1" t="n">
        <v>202</v>
      </c>
      <c r="K8" s="1" t="n">
        <v>113</v>
      </c>
      <c r="L8" s="1" t="n">
        <v>231</v>
      </c>
      <c r="M8" s="1" t="n">
        <v>19.241241889117</v>
      </c>
      <c r="N8" s="6" t="b">
        <f aca="false">FALSE()</f>
        <v>0</v>
      </c>
      <c r="O8" s="7" t="b">
        <f aca="false">FALSE()</f>
        <v>0</v>
      </c>
      <c r="P8" s="1" t="n">
        <v>7</v>
      </c>
      <c r="Q8" s="1" t="n">
        <v>6</v>
      </c>
    </row>
    <row r="9" customFormat="false" ht="15" hidden="false" customHeight="false" outlineLevel="0" collapsed="false">
      <c r="A9" s="8" t="s">
        <v>24</v>
      </c>
      <c r="B9" s="1" t="n">
        <v>86</v>
      </c>
      <c r="C9" s="1" t="n">
        <v>74</v>
      </c>
      <c r="D9" s="6" t="b">
        <f aca="false">FALSE()</f>
        <v>0</v>
      </c>
      <c r="E9" s="6" t="b">
        <f aca="false">FALSE()</f>
        <v>0</v>
      </c>
      <c r="F9" s="1" t="n">
        <v>32.8888888888889</v>
      </c>
      <c r="G9" s="1" t="n">
        <v>22</v>
      </c>
      <c r="H9" s="1" t="n">
        <v>0.3</v>
      </c>
      <c r="I9" s="1" t="n">
        <v>13.6</v>
      </c>
      <c r="J9" s="1" t="n">
        <v>120</v>
      </c>
      <c r="K9" s="1" t="n">
        <v>51</v>
      </c>
      <c r="L9" s="1" t="n">
        <v>138</v>
      </c>
      <c r="M9" s="1" t="n">
        <v>13.4516317965024</v>
      </c>
      <c r="N9" s="6" t="b">
        <f aca="false">TRUE()</f>
        <v>1</v>
      </c>
      <c r="O9" s="7" t="b">
        <f aca="false">TRUE()</f>
        <v>1</v>
      </c>
      <c r="P9" s="1" t="n">
        <v>3</v>
      </c>
      <c r="Q9" s="1" t="n">
        <v>2</v>
      </c>
    </row>
    <row r="10" customFormat="false" ht="15" hidden="false" customHeight="false" outlineLevel="0" collapsed="false">
      <c r="A10" s="1" t="s">
        <v>25</v>
      </c>
      <c r="B10" s="1" t="n">
        <v>80</v>
      </c>
      <c r="C10" s="1" t="n">
        <v>64.6</v>
      </c>
      <c r="D10" s="6" t="b">
        <f aca="false">FALSE()</f>
        <v>0</v>
      </c>
      <c r="E10" s="6" t="b">
        <f aca="false">TRUE()</f>
        <v>1</v>
      </c>
      <c r="F10" s="1" t="n">
        <v>21.5844164522704</v>
      </c>
      <c r="G10" s="1" t="n">
        <v>19</v>
      </c>
      <c r="H10" s="1" t="n">
        <v>1.14</v>
      </c>
      <c r="I10" s="1" t="n">
        <v>27.9</v>
      </c>
      <c r="J10" s="1" t="n">
        <v>229</v>
      </c>
      <c r="K10" s="1" t="n">
        <v>145</v>
      </c>
      <c r="L10" s="1" t="n">
        <v>342</v>
      </c>
      <c r="M10" s="1" t="n">
        <v>17.7429160130719</v>
      </c>
      <c r="N10" s="6" t="b">
        <f aca="false">FALSE()</f>
        <v>0</v>
      </c>
      <c r="O10" s="7" t="b">
        <f aca="false">FALSE()</f>
        <v>0</v>
      </c>
      <c r="P10" s="1" t="n">
        <v>4</v>
      </c>
      <c r="Q10" s="1" t="n">
        <v>6</v>
      </c>
    </row>
    <row r="11" customFormat="false" ht="15" hidden="false" customHeight="false" outlineLevel="0" collapsed="false">
      <c r="A11" s="1" t="s">
        <v>26</v>
      </c>
      <c r="B11" s="1" t="n">
        <v>81</v>
      </c>
      <c r="C11" s="1" t="n">
        <v>59.6</v>
      </c>
      <c r="D11" s="6" t="b">
        <f aca="false">FALSE()</f>
        <v>0</v>
      </c>
      <c r="E11" s="6" t="b">
        <f aca="false">FALSE()</f>
        <v>0</v>
      </c>
      <c r="F11" s="1" t="n">
        <v>22.992940087188</v>
      </c>
      <c r="G11" s="1" t="n">
        <v>22</v>
      </c>
      <c r="H11" s="1" t="n">
        <v>0.8</v>
      </c>
      <c r="I11" s="1" t="n">
        <v>16.1</v>
      </c>
      <c r="J11" s="1" t="n">
        <v>152</v>
      </c>
      <c r="K11" s="1" t="n">
        <v>103</v>
      </c>
      <c r="L11" s="1" t="n">
        <v>192</v>
      </c>
      <c r="M11" s="1" t="n">
        <v>14.5403036363636</v>
      </c>
      <c r="N11" s="6" t="b">
        <f aca="false">FALSE()</f>
        <v>0</v>
      </c>
      <c r="O11" s="7" t="b">
        <f aca="false">FALSE()</f>
        <v>0</v>
      </c>
      <c r="P11" s="1" t="n">
        <v>4</v>
      </c>
      <c r="Q11" s="1" t="n">
        <v>6</v>
      </c>
    </row>
    <row r="12" customFormat="false" ht="15" hidden="false" customHeight="false" outlineLevel="0" collapsed="false">
      <c r="A12" s="1" t="s">
        <v>27</v>
      </c>
      <c r="B12" s="1" t="n">
        <v>79</v>
      </c>
      <c r="C12" s="1" t="n">
        <v>51.9</v>
      </c>
      <c r="D12" s="6" t="b">
        <f aca="false">FALSE()</f>
        <v>0</v>
      </c>
      <c r="E12" s="6" t="b">
        <f aca="false">FALSE()</f>
        <v>0</v>
      </c>
      <c r="F12" s="1" t="n">
        <v>19.7759487882945</v>
      </c>
      <c r="G12" s="1" t="n">
        <v>25</v>
      </c>
      <c r="H12" s="1" t="n">
        <v>1.14</v>
      </c>
      <c r="I12" s="1" t="n">
        <v>17</v>
      </c>
      <c r="J12" s="1" t="n">
        <v>140</v>
      </c>
      <c r="K12" s="1" t="n">
        <v>84</v>
      </c>
      <c r="L12" s="1" t="n">
        <v>147</v>
      </c>
      <c r="M12" s="1" t="n">
        <v>19.252925</v>
      </c>
      <c r="N12" s="6" t="b">
        <f aca="false">FALSE()</f>
        <v>0</v>
      </c>
      <c r="O12" s="7" t="b">
        <f aca="false">FALSE()</f>
        <v>0</v>
      </c>
      <c r="P12" s="1" t="n">
        <v>0</v>
      </c>
      <c r="Q12" s="1" t="n">
        <v>6</v>
      </c>
    </row>
    <row r="13" customFormat="false" ht="15" hidden="false" customHeight="false" outlineLevel="0" collapsed="false">
      <c r="A13" s="1" t="s">
        <v>28</v>
      </c>
      <c r="B13" s="1" t="n">
        <v>94</v>
      </c>
      <c r="C13" s="1" t="n">
        <v>62.3</v>
      </c>
      <c r="D13" s="6" t="b">
        <f aca="false">FALSE()</f>
        <v>0</v>
      </c>
      <c r="E13" s="6" t="b">
        <f aca="false">TRUE()</f>
        <v>1</v>
      </c>
      <c r="F13" s="1" t="n">
        <v>24.3359375</v>
      </c>
      <c r="G13" s="1" t="n">
        <v>20.5</v>
      </c>
      <c r="H13" s="1" t="n">
        <v>0.9</v>
      </c>
      <c r="I13" s="1" t="n">
        <v>19.1</v>
      </c>
      <c r="J13" s="1" t="n">
        <v>143</v>
      </c>
      <c r="K13" s="1" t="n">
        <v>130</v>
      </c>
      <c r="L13" s="1" t="n">
        <v>204</v>
      </c>
      <c r="M13" s="1" t="n">
        <v>21.2939909090909</v>
      </c>
      <c r="N13" s="6" t="b">
        <f aca="false">FALSE()</f>
        <v>0</v>
      </c>
      <c r="O13" s="7" t="b">
        <f aca="false">TRUE()</f>
        <v>1</v>
      </c>
      <c r="P13" s="1" t="n">
        <v>5</v>
      </c>
      <c r="Q13" s="1" t="n">
        <v>5</v>
      </c>
    </row>
    <row r="14" customFormat="false" ht="15" hidden="false" customHeight="false" outlineLevel="0" collapsed="false">
      <c r="A14" s="1" t="s">
        <v>29</v>
      </c>
      <c r="B14" s="1" t="n">
        <v>88</v>
      </c>
      <c r="C14" s="1" t="n">
        <v>69.1</v>
      </c>
      <c r="D14" s="6" t="b">
        <f aca="false">FALSE()</f>
        <v>0</v>
      </c>
      <c r="E14" s="6" t="b">
        <f aca="false">FALSE()</f>
        <v>0</v>
      </c>
      <c r="F14" s="1" t="n">
        <v>26.329827770157</v>
      </c>
      <c r="G14" s="1" t="n">
        <v>25</v>
      </c>
      <c r="H14" s="1" t="n">
        <v>0.5</v>
      </c>
      <c r="I14" s="1" t="n">
        <v>15.4</v>
      </c>
      <c r="J14" s="1" t="n">
        <v>207</v>
      </c>
      <c r="K14" s="1" t="n">
        <v>93</v>
      </c>
      <c r="L14" s="1" t="n">
        <v>276</v>
      </c>
      <c r="M14" s="1" t="n">
        <v>22.0298310344828</v>
      </c>
      <c r="N14" s="6" t="b">
        <f aca="false">FALSE()</f>
        <v>0</v>
      </c>
      <c r="O14" s="7" t="b">
        <f aca="false">FALSE()</f>
        <v>0</v>
      </c>
      <c r="P14" s="1" t="n">
        <v>4</v>
      </c>
      <c r="Q14" s="1" t="n">
        <v>6</v>
      </c>
    </row>
    <row r="15" customFormat="false" ht="15" hidden="false" customHeight="false" outlineLevel="0" collapsed="false">
      <c r="A15" s="8" t="s">
        <v>30</v>
      </c>
      <c r="B15" s="1" t="n">
        <v>85</v>
      </c>
      <c r="C15" s="1" t="n">
        <v>53.3</v>
      </c>
      <c r="D15" s="6" t="b">
        <f aca="false">FALSE()</f>
        <v>0</v>
      </c>
      <c r="E15" s="6" t="b">
        <f aca="false">TRUE()</f>
        <v>1</v>
      </c>
      <c r="F15" s="1" t="n">
        <v>20.0609733147653</v>
      </c>
      <c r="G15" s="1" t="n">
        <v>18.5</v>
      </c>
      <c r="H15" s="1" t="n">
        <v>1.3</v>
      </c>
      <c r="I15" s="1" t="n">
        <v>24.2</v>
      </c>
      <c r="J15" s="1" t="n">
        <v>193</v>
      </c>
      <c r="K15" s="1" t="n">
        <v>118</v>
      </c>
      <c r="L15" s="1" t="n">
        <v>233</v>
      </c>
      <c r="M15" s="1" t="n">
        <v>16.2357921389397</v>
      </c>
      <c r="N15" s="6" t="b">
        <f aca="false">TRUE()</f>
        <v>1</v>
      </c>
      <c r="O15" s="7" t="b">
        <f aca="false">TRUE()</f>
        <v>1</v>
      </c>
      <c r="P15" s="1" t="n">
        <v>4</v>
      </c>
      <c r="Q15" s="1" t="n">
        <v>6</v>
      </c>
    </row>
    <row r="16" customFormat="false" ht="15" hidden="false" customHeight="false" outlineLevel="0" collapsed="false">
      <c r="A16" s="1" t="s">
        <v>31</v>
      </c>
      <c r="B16" s="1" t="n">
        <v>87</v>
      </c>
      <c r="C16" s="1" t="n">
        <v>84.1</v>
      </c>
      <c r="D16" s="6" t="b">
        <f aca="false">TRUE()</f>
        <v>1</v>
      </c>
      <c r="E16" s="6" t="b">
        <f aca="false">TRUE()</f>
        <v>1</v>
      </c>
      <c r="F16" s="1" t="n">
        <v>29.1003460207613</v>
      </c>
      <c r="G16" s="1" t="n">
        <v>18</v>
      </c>
      <c r="H16" s="1" t="n">
        <v>0.73</v>
      </c>
      <c r="I16" s="1" t="n">
        <v>36.9</v>
      </c>
      <c r="J16" s="1" t="n">
        <v>200</v>
      </c>
      <c r="K16" s="1" t="n">
        <v>154</v>
      </c>
      <c r="L16" s="1" t="n">
        <v>349</v>
      </c>
      <c r="M16" s="1" t="n">
        <v>22.2242928251121</v>
      </c>
      <c r="N16" s="6" t="b">
        <f aca="false">FALSE()</f>
        <v>0</v>
      </c>
      <c r="O16" s="7" t="b">
        <f aca="false">FALSE()</f>
        <v>0</v>
      </c>
      <c r="P16" s="1" t="n">
        <v>1</v>
      </c>
      <c r="Q16" s="1" t="n">
        <v>4</v>
      </c>
    </row>
    <row r="17" customFormat="false" ht="15" hidden="false" customHeight="false" outlineLevel="0" collapsed="false">
      <c r="A17" s="1" t="s">
        <v>32</v>
      </c>
      <c r="B17" s="1" t="n">
        <v>88</v>
      </c>
      <c r="C17" s="1" t="n">
        <v>88.6</v>
      </c>
      <c r="D17" s="6" t="b">
        <f aca="false">FALSE()</f>
        <v>0</v>
      </c>
      <c r="E17" s="6" t="b">
        <f aca="false">TRUE()</f>
        <v>1</v>
      </c>
      <c r="F17" s="1" t="n">
        <v>30.2999213433193</v>
      </c>
      <c r="G17" s="1" t="n">
        <v>25.5</v>
      </c>
      <c r="I17" s="1" t="n">
        <v>30.8</v>
      </c>
      <c r="J17" s="1" t="n">
        <v>169</v>
      </c>
      <c r="K17" s="1" t="n">
        <v>126</v>
      </c>
      <c r="L17" s="1" t="n">
        <v>191</v>
      </c>
      <c r="M17" s="1" t="n">
        <v>24.7674953125</v>
      </c>
      <c r="N17" s="6" t="b">
        <f aca="false">FALSE()</f>
        <v>0</v>
      </c>
      <c r="O17" s="7" t="b">
        <f aca="false">FALSE()</f>
        <v>0</v>
      </c>
      <c r="P17" s="1" t="n">
        <v>8</v>
      </c>
      <c r="Q17" s="1" t="n">
        <v>4</v>
      </c>
    </row>
    <row r="18" customFormat="false" ht="15" hidden="false" customHeight="false" outlineLevel="0" collapsed="false">
      <c r="A18" s="1" t="s">
        <v>33</v>
      </c>
      <c r="B18" s="1" t="n">
        <v>90</v>
      </c>
      <c r="C18" s="1" t="n">
        <v>73.2</v>
      </c>
      <c r="D18" s="6" t="b">
        <f aca="false">TRUE()</f>
        <v>1</v>
      </c>
      <c r="E18" s="6" t="b">
        <f aca="false">TRUE()</f>
        <v>1</v>
      </c>
      <c r="F18" s="1" t="n">
        <v>25.9353741496599</v>
      </c>
      <c r="G18" s="1" t="n">
        <v>21</v>
      </c>
      <c r="H18" s="1" t="n">
        <v>1.2</v>
      </c>
      <c r="I18" s="1" t="n">
        <v>36.8</v>
      </c>
      <c r="J18" s="1" t="n">
        <v>175</v>
      </c>
      <c r="K18" s="1" t="n">
        <v>92</v>
      </c>
      <c r="L18" s="1" t="n">
        <v>222</v>
      </c>
      <c r="M18" s="1" t="n">
        <v>18.8944815533981</v>
      </c>
      <c r="N18" s="6" t="b">
        <f aca="false">FALSE()</f>
        <v>0</v>
      </c>
      <c r="O18" s="7" t="b">
        <f aca="false">FALSE()</f>
        <v>0</v>
      </c>
      <c r="P18" s="1" t="n">
        <v>4</v>
      </c>
      <c r="Q18" s="1" t="n">
        <v>4.5</v>
      </c>
    </row>
    <row r="19" customFormat="false" ht="14.9" hidden="false" customHeight="false" outlineLevel="0" collapsed="false">
      <c r="A19" s="8" t="s">
        <v>34</v>
      </c>
      <c r="B19" s="1" t="n">
        <v>89</v>
      </c>
      <c r="C19" s="1" t="n">
        <v>56.5</v>
      </c>
      <c r="D19" s="6" t="b">
        <f aca="false">FALSE()</f>
        <v>0</v>
      </c>
      <c r="E19" s="6" t="b">
        <f aca="false">FALSE()</f>
        <v>0</v>
      </c>
      <c r="F19" s="1" t="n">
        <v>23.2166337935569</v>
      </c>
      <c r="G19" s="1" t="n">
        <v>20.5</v>
      </c>
      <c r="H19" s="1" t="n">
        <v>0.93</v>
      </c>
      <c r="I19" s="1" t="n">
        <v>14</v>
      </c>
      <c r="J19" s="1" t="n">
        <v>125</v>
      </c>
      <c r="K19" s="1" t="n">
        <v>103</v>
      </c>
      <c r="L19" s="1" t="n">
        <v>126</v>
      </c>
      <c r="M19" s="1" t="n">
        <v>13.8285615678776</v>
      </c>
      <c r="N19" s="6" t="b">
        <f aca="false">TRUE()</f>
        <v>1</v>
      </c>
      <c r="O19" s="7" t="b">
        <f aca="false">TRUE()</f>
        <v>1</v>
      </c>
      <c r="P19" s="1" t="n">
        <v>4</v>
      </c>
      <c r="Q19" s="1" t="n">
        <v>5</v>
      </c>
    </row>
    <row r="20" customFormat="false" ht="15" hidden="false" customHeight="false" outlineLevel="0" collapsed="false">
      <c r="A20" s="1" t="s">
        <v>35</v>
      </c>
      <c r="B20" s="1" t="n">
        <v>87</v>
      </c>
      <c r="C20" s="1" t="n">
        <v>43.2</v>
      </c>
      <c r="D20" s="6" t="b">
        <f aca="false">FALSE()</f>
        <v>0</v>
      </c>
      <c r="E20" s="6" t="b">
        <f aca="false">FALSE()</f>
        <v>0</v>
      </c>
      <c r="F20" s="1" t="n">
        <v>17.526065966165</v>
      </c>
      <c r="G20" s="1" t="n">
        <v>22.5</v>
      </c>
      <c r="H20" s="1" t="n">
        <v>0.67</v>
      </c>
      <c r="I20" s="1" t="n">
        <v>21.6</v>
      </c>
      <c r="J20" s="1" t="n">
        <v>127</v>
      </c>
      <c r="K20" s="1" t="n">
        <v>74</v>
      </c>
      <c r="L20" s="1" t="n">
        <v>188</v>
      </c>
      <c r="M20" s="1" t="n">
        <v>10.2159161131611</v>
      </c>
      <c r="N20" s="6" t="b">
        <f aca="false">FALSE()</f>
        <v>0</v>
      </c>
      <c r="O20" s="7" t="b">
        <f aca="false">FALSE()</f>
        <v>0</v>
      </c>
      <c r="P20" s="1" t="n">
        <v>0</v>
      </c>
      <c r="Q20" s="1" t="n">
        <v>6</v>
      </c>
    </row>
    <row r="21" customFormat="false" ht="15" hidden="false" customHeight="false" outlineLevel="0" collapsed="false">
      <c r="A21" s="8" t="s">
        <v>36</v>
      </c>
      <c r="B21" s="1" t="n">
        <v>84</v>
      </c>
      <c r="C21" s="1" t="n">
        <v>52.2</v>
      </c>
      <c r="D21" s="6" t="b">
        <f aca="false">FALSE()</f>
        <v>0</v>
      </c>
      <c r="E21" s="6" t="b">
        <f aca="false">FALSE()</f>
        <v>0</v>
      </c>
      <c r="F21" s="1" t="n">
        <v>23.8312636961286</v>
      </c>
      <c r="G21" s="1" t="n">
        <v>15</v>
      </c>
      <c r="H21" s="1" t="n">
        <v>0.4</v>
      </c>
      <c r="I21" s="1" t="n">
        <v>13.6</v>
      </c>
      <c r="J21" s="1" t="n">
        <v>111</v>
      </c>
      <c r="K21" s="1" t="n">
        <v>71</v>
      </c>
      <c r="L21" s="1" t="n">
        <v>135</v>
      </c>
      <c r="M21" s="1" t="n">
        <v>11.8975417376491</v>
      </c>
      <c r="N21" s="6" t="b">
        <f aca="false">TRUE()</f>
        <v>1</v>
      </c>
      <c r="O21" s="7" t="b">
        <f aca="false">TRUE()</f>
        <v>1</v>
      </c>
      <c r="P21" s="1" t="n">
        <v>4</v>
      </c>
      <c r="Q21" s="1" t="n">
        <v>6</v>
      </c>
      <c r="R21" s="9" t="s">
        <v>37</v>
      </c>
    </row>
    <row r="22" customFormat="false" ht="15" hidden="false" customHeight="false" outlineLevel="0" collapsed="false">
      <c r="A22" s="8" t="s">
        <v>38</v>
      </c>
      <c r="B22" s="1" t="n">
        <v>89</v>
      </c>
      <c r="C22" s="1" t="n">
        <v>69.9</v>
      </c>
      <c r="D22" s="6" t="b">
        <f aca="false">FALSE()</f>
        <v>0</v>
      </c>
      <c r="E22" s="6" t="b">
        <f aca="false">TRUE()</f>
        <v>1</v>
      </c>
      <c r="F22" s="1" t="n">
        <v>26.3088561857804</v>
      </c>
      <c r="G22" s="1" t="n">
        <v>21.5</v>
      </c>
      <c r="H22" s="1" t="n">
        <v>0.62</v>
      </c>
      <c r="I22" s="1" t="n">
        <v>18</v>
      </c>
      <c r="J22" s="1" t="n">
        <v>197</v>
      </c>
      <c r="K22" s="1" t="n">
        <v>163</v>
      </c>
      <c r="L22" s="1" t="n">
        <v>374</v>
      </c>
      <c r="M22" s="1" t="n">
        <v>19.9091889400922</v>
      </c>
      <c r="N22" s="6" t="b">
        <f aca="false">TRUE()</f>
        <v>1</v>
      </c>
      <c r="O22" s="7" t="b">
        <f aca="false">FALSE()</f>
        <v>0</v>
      </c>
      <c r="P22" s="1" t="n">
        <v>3</v>
      </c>
      <c r="Q22" s="1" t="n">
        <v>4.5</v>
      </c>
    </row>
    <row r="23" customFormat="false" ht="15" hidden="false" customHeight="false" outlineLevel="0" collapsed="false">
      <c r="A23" s="8" t="s">
        <v>39</v>
      </c>
      <c r="B23" s="1" t="n">
        <v>92</v>
      </c>
      <c r="C23" s="1" t="n">
        <v>60.7</v>
      </c>
      <c r="D23" s="6" t="b">
        <f aca="false">TRUE()</f>
        <v>1</v>
      </c>
      <c r="E23" s="6" t="b">
        <f aca="false">FALSE()</f>
        <v>0</v>
      </c>
      <c r="F23" s="1" t="n">
        <v>23.1290961743637</v>
      </c>
      <c r="G23" s="1" t="n">
        <v>16</v>
      </c>
      <c r="H23" s="1" t="n">
        <v>0.16</v>
      </c>
      <c r="I23" s="1" t="n">
        <v>13.1</v>
      </c>
      <c r="J23" s="1" t="n">
        <v>137</v>
      </c>
      <c r="K23" s="1" t="n">
        <v>94</v>
      </c>
      <c r="L23" s="1" t="n">
        <v>222</v>
      </c>
      <c r="M23" s="1" t="n">
        <v>13.892512244898</v>
      </c>
      <c r="N23" s="6" t="b">
        <f aca="false">TRUE()</f>
        <v>1</v>
      </c>
      <c r="O23" s="7" t="b">
        <f aca="false">TRUE()</f>
        <v>1</v>
      </c>
      <c r="P23" s="1" t="n">
        <v>1</v>
      </c>
      <c r="Q23" s="1" t="n">
        <v>5.5</v>
      </c>
    </row>
    <row r="24" customFormat="false" ht="15" hidden="false" customHeight="false" outlineLevel="0" collapsed="false">
      <c r="A24" s="8" t="s">
        <v>40</v>
      </c>
      <c r="B24" s="1" t="n">
        <v>91</v>
      </c>
      <c r="C24" s="1" t="n">
        <v>69</v>
      </c>
      <c r="D24" s="6" t="b">
        <f aca="false">TRUE()</f>
        <v>1</v>
      </c>
      <c r="E24" s="6" t="b">
        <f aca="false">TRUE()</f>
        <v>1</v>
      </c>
      <c r="F24" s="1" t="n">
        <v>23.5970042064225</v>
      </c>
      <c r="G24" s="1" t="n">
        <v>19.5</v>
      </c>
      <c r="H24" s="1" t="n">
        <v>0.8</v>
      </c>
      <c r="I24" s="1" t="n">
        <v>22.3</v>
      </c>
      <c r="J24" s="1" t="n">
        <v>153</v>
      </c>
      <c r="K24" s="1" t="n">
        <v>118</v>
      </c>
      <c r="L24" s="1" t="n">
        <v>287</v>
      </c>
      <c r="M24" s="1" t="n">
        <v>18.6835061776062</v>
      </c>
      <c r="N24" s="6" t="b">
        <f aca="false">TRUE()</f>
        <v>1</v>
      </c>
      <c r="O24" s="7" t="b">
        <f aca="false">TRUE()</f>
        <v>1</v>
      </c>
      <c r="P24" s="1" t="n">
        <v>5</v>
      </c>
      <c r="Q24" s="1" t="n">
        <v>6</v>
      </c>
    </row>
    <row r="25" customFormat="false" ht="15" hidden="false" customHeight="false" outlineLevel="0" collapsed="false">
      <c r="A25" s="1" t="s">
        <v>41</v>
      </c>
      <c r="B25" s="1" t="n">
        <v>79</v>
      </c>
      <c r="C25" s="1" t="n">
        <v>73.7</v>
      </c>
      <c r="D25" s="6" t="b">
        <f aca="false">FALSE()</f>
        <v>0</v>
      </c>
      <c r="E25" s="6" t="b">
        <f aca="false">FALSE()</f>
        <v>0</v>
      </c>
      <c r="F25" s="1" t="n">
        <v>27.7390944333622</v>
      </c>
      <c r="G25" s="1" t="n">
        <v>23.5</v>
      </c>
      <c r="H25" s="1" t="n">
        <v>1.25</v>
      </c>
      <c r="I25" s="1" t="n">
        <v>13.5</v>
      </c>
      <c r="J25" s="1" t="n">
        <v>158</v>
      </c>
      <c r="K25" s="1" t="n">
        <v>107</v>
      </c>
      <c r="L25" s="1" t="n">
        <v>179</v>
      </c>
      <c r="M25" s="1" t="n">
        <v>17.5985673189824</v>
      </c>
      <c r="N25" s="6" t="b">
        <f aca="false">FALSE()</f>
        <v>0</v>
      </c>
      <c r="O25" s="7" t="b">
        <f aca="false">FALSE()</f>
        <v>0</v>
      </c>
      <c r="P25" s="1" t="n">
        <v>3</v>
      </c>
      <c r="Q25" s="1" t="n">
        <v>6</v>
      </c>
    </row>
    <row r="26" customFormat="false" ht="15" hidden="false" customHeight="false" outlineLevel="0" collapsed="false">
      <c r="A26" s="1" t="s">
        <v>42</v>
      </c>
      <c r="B26" s="1" t="n">
        <v>83</v>
      </c>
      <c r="C26" s="1" t="n">
        <v>75.6</v>
      </c>
      <c r="D26" s="6" t="b">
        <f aca="false">TRUE()</f>
        <v>1</v>
      </c>
      <c r="E26" s="6" t="b">
        <f aca="false">TRUE()</f>
        <v>1</v>
      </c>
      <c r="F26" s="1" t="n">
        <v>27.4350413703005</v>
      </c>
      <c r="G26" s="1" t="n">
        <v>12</v>
      </c>
      <c r="H26" s="1" t="n">
        <v>0.22</v>
      </c>
      <c r="I26" s="1" t="n">
        <v>27.5</v>
      </c>
      <c r="J26" s="1" t="n">
        <v>173</v>
      </c>
      <c r="K26" s="1" t="n">
        <v>116</v>
      </c>
      <c r="L26" s="1" t="n">
        <v>217</v>
      </c>
      <c r="M26" s="1" t="n">
        <v>20.2241771058315</v>
      </c>
      <c r="N26" s="6" t="b">
        <f aca="false">FALSE()</f>
        <v>0</v>
      </c>
      <c r="O26" s="7" t="b">
        <f aca="false">FALSE()</f>
        <v>0</v>
      </c>
      <c r="P26" s="1" t="n">
        <v>4</v>
      </c>
      <c r="Q26" s="1" t="n">
        <v>5.5</v>
      </c>
    </row>
    <row r="27" customFormat="false" ht="15" hidden="false" customHeight="false" outlineLevel="0" collapsed="false">
      <c r="A27" s="8" t="s">
        <v>43</v>
      </c>
      <c r="B27" s="1" t="n">
        <v>96</v>
      </c>
      <c r="C27" s="1" t="n">
        <v>49</v>
      </c>
      <c r="D27" s="6" t="b">
        <f aca="false">TRUE()</f>
        <v>1</v>
      </c>
      <c r="E27" s="6" t="b">
        <f aca="false">FALSE()</f>
        <v>0</v>
      </c>
      <c r="F27" s="1" t="n">
        <v>19.140625</v>
      </c>
      <c r="G27" s="1" t="n">
        <v>20</v>
      </c>
      <c r="H27" s="1" t="n">
        <v>0.9</v>
      </c>
      <c r="I27" s="1" t="n">
        <v>10.9</v>
      </c>
      <c r="J27" s="1" t="n">
        <v>96</v>
      </c>
      <c r="K27" s="1" t="n">
        <v>59</v>
      </c>
      <c r="L27" s="1" t="n">
        <v>176</v>
      </c>
      <c r="M27" s="1" t="n">
        <v>11.4700328358209</v>
      </c>
      <c r="N27" s="6" t="b">
        <f aca="false">TRUE()</f>
        <v>1</v>
      </c>
      <c r="O27" s="7" t="b">
        <f aca="false">TRUE()</f>
        <v>1</v>
      </c>
      <c r="P27" s="1" t="n">
        <v>2</v>
      </c>
      <c r="Q27" s="1" t="n">
        <v>4</v>
      </c>
    </row>
    <row r="28" customFormat="false" ht="15" hidden="false" customHeight="false" outlineLevel="0" collapsed="false">
      <c r="A28" s="1" t="s">
        <v>44</v>
      </c>
      <c r="B28" s="1" t="n">
        <v>76</v>
      </c>
      <c r="C28" s="1" t="n">
        <v>56.5</v>
      </c>
      <c r="D28" s="6" t="b">
        <f aca="false">FALSE()</f>
        <v>0</v>
      </c>
      <c r="E28" s="6" t="b">
        <f aca="false">FALSE()</f>
        <v>0</v>
      </c>
      <c r="F28" s="1" t="n">
        <v>22.0703125</v>
      </c>
      <c r="G28" s="1" t="n">
        <v>24</v>
      </c>
      <c r="H28" s="1" t="n">
        <v>1.14</v>
      </c>
      <c r="I28" s="1" t="n">
        <v>13.2</v>
      </c>
      <c r="J28" s="1" t="n">
        <v>126</v>
      </c>
      <c r="K28" s="1" t="n">
        <v>79</v>
      </c>
      <c r="L28" s="1" t="n">
        <v>153</v>
      </c>
      <c r="M28" s="1" t="n">
        <v>18.2599763358779</v>
      </c>
      <c r="N28" s="6" t="b">
        <f aca="false">FALSE()</f>
        <v>0</v>
      </c>
      <c r="O28" s="7" t="b">
        <f aca="false">TRUE()</f>
        <v>1</v>
      </c>
      <c r="P28" s="1" t="n">
        <v>1</v>
      </c>
      <c r="Q28" s="1" t="n">
        <v>4</v>
      </c>
    </row>
    <row r="29" s="8" customFormat="true" ht="14.9" hidden="false" customHeight="false" outlineLevel="0" collapsed="false">
      <c r="A29" s="8" t="s">
        <v>45</v>
      </c>
      <c r="B29" s="1" t="n">
        <v>84</v>
      </c>
      <c r="C29" s="1" t="n">
        <v>51.7</v>
      </c>
      <c r="D29" s="6" t="b">
        <f aca="false">FALSE()</f>
        <v>0</v>
      </c>
      <c r="E29" s="6" t="b">
        <f aca="false">FALSE()</f>
        <v>0</v>
      </c>
      <c r="F29" s="1" t="n">
        <v>23.9252163450414</v>
      </c>
      <c r="G29" s="1" t="n">
        <v>22.5</v>
      </c>
      <c r="H29" s="1" t="n">
        <v>0.44</v>
      </c>
      <c r="I29" s="1" t="n">
        <v>13.5</v>
      </c>
      <c r="J29" s="1" t="n">
        <v>116</v>
      </c>
      <c r="K29" s="1" t="n">
        <v>90</v>
      </c>
      <c r="L29" s="1" t="n">
        <v>173</v>
      </c>
      <c r="M29" s="1" t="n">
        <v>11.2959632450331</v>
      </c>
      <c r="N29" s="6" t="b">
        <f aca="false">TRUE()</f>
        <v>1</v>
      </c>
      <c r="O29" s="7" t="b">
        <f aca="false">TRUE()</f>
        <v>1</v>
      </c>
      <c r="P29" s="1" t="n">
        <v>9</v>
      </c>
      <c r="Q29" s="1" t="n">
        <v>6</v>
      </c>
    </row>
    <row r="30" customFormat="false" ht="15" hidden="false" customHeight="false" outlineLevel="0" collapsed="false">
      <c r="A30" s="1" t="s">
        <v>46</v>
      </c>
      <c r="B30" s="1" t="n">
        <v>80</v>
      </c>
      <c r="C30" s="1" t="n">
        <v>63.7</v>
      </c>
      <c r="D30" s="6" t="b">
        <f aca="false">TRUE()</f>
        <v>1</v>
      </c>
      <c r="E30" s="6" t="b">
        <f aca="false">TRUE()</f>
        <v>1</v>
      </c>
      <c r="F30" s="1" t="n">
        <v>23.3976124885216</v>
      </c>
      <c r="G30" s="1" t="n">
        <v>23</v>
      </c>
      <c r="H30" s="1" t="n">
        <v>1</v>
      </c>
      <c r="I30" s="1" t="n">
        <v>22.3</v>
      </c>
      <c r="J30" s="1" t="n">
        <v>159</v>
      </c>
      <c r="K30" s="1" t="n">
        <v>126</v>
      </c>
      <c r="L30" s="1" t="n">
        <v>258</v>
      </c>
      <c r="M30" s="1" t="n">
        <v>20.7685026030369</v>
      </c>
      <c r="N30" s="6" t="b">
        <f aca="false">FALSE()</f>
        <v>0</v>
      </c>
      <c r="O30" s="7" t="b">
        <f aca="false">TRUE()</f>
        <v>1</v>
      </c>
      <c r="P30" s="1" t="n">
        <v>4</v>
      </c>
      <c r="Q30" s="1" t="n">
        <v>5.5</v>
      </c>
    </row>
    <row r="31" customFormat="false" ht="15" hidden="false" customHeight="false" outlineLevel="0" collapsed="false">
      <c r="A31" s="1" t="s">
        <v>47</v>
      </c>
      <c r="B31" s="1" t="n">
        <v>87</v>
      </c>
      <c r="C31" s="1" t="n">
        <v>40.1</v>
      </c>
      <c r="D31" s="6" t="b">
        <f aca="false">FALSE()</f>
        <v>0</v>
      </c>
      <c r="E31" s="6" t="b">
        <f aca="false">FALSE()</f>
        <v>0</v>
      </c>
      <c r="F31" s="1" t="n">
        <v>16.690946930281</v>
      </c>
      <c r="G31" s="1" t="n">
        <v>14</v>
      </c>
      <c r="H31" s="1" t="n">
        <v>0.7</v>
      </c>
      <c r="I31" s="1" t="n">
        <v>18.5</v>
      </c>
      <c r="J31" s="1" t="n">
        <v>135</v>
      </c>
      <c r="K31" s="1" t="n">
        <v>73</v>
      </c>
      <c r="L31" s="1" t="n">
        <v>122</v>
      </c>
      <c r="M31" s="1" t="n">
        <v>10.4538026604069</v>
      </c>
      <c r="N31" s="6" t="b">
        <f aca="false">FALSE()</f>
        <v>0</v>
      </c>
      <c r="O31" s="7" t="b">
        <f aca="false">FALSE()</f>
        <v>0</v>
      </c>
      <c r="P31" s="1" t="n">
        <v>5</v>
      </c>
      <c r="Q31" s="1" t="n">
        <v>4</v>
      </c>
    </row>
    <row r="32" customFormat="false" ht="15" hidden="false" customHeight="false" outlineLevel="0" collapsed="false">
      <c r="A32" s="1" t="s">
        <v>48</v>
      </c>
      <c r="B32" s="1" t="n">
        <v>94</v>
      </c>
      <c r="C32" s="1" t="n">
        <v>59.2</v>
      </c>
      <c r="D32" s="6" t="b">
        <f aca="false">TRUE()</f>
        <v>1</v>
      </c>
      <c r="E32" s="6" t="b">
        <f aca="false">FALSE()</f>
        <v>0</v>
      </c>
      <c r="F32" s="1" t="n">
        <v>22.8386250530458</v>
      </c>
      <c r="G32" s="1" t="n">
        <v>17</v>
      </c>
      <c r="I32" s="1" t="n">
        <v>16.3</v>
      </c>
      <c r="J32" s="1" t="n">
        <v>172</v>
      </c>
      <c r="K32" s="1" t="n">
        <v>85</v>
      </c>
      <c r="L32" s="1" t="n">
        <v>220</v>
      </c>
      <c r="M32" s="1" t="n">
        <v>14.9354121771218</v>
      </c>
      <c r="N32" s="6" t="b">
        <f aca="false">FALSE()</f>
        <v>0</v>
      </c>
      <c r="O32" s="7" t="b">
        <f aca="false">FALSE()</f>
        <v>0</v>
      </c>
      <c r="P32" s="1" t="n">
        <v>1</v>
      </c>
      <c r="Q32" s="1" t="n">
        <v>3</v>
      </c>
    </row>
    <row r="33" customFormat="false" ht="15" hidden="false" customHeight="false" outlineLevel="0" collapsed="false">
      <c r="A33" s="1" t="s">
        <v>49</v>
      </c>
      <c r="B33" s="1" t="n">
        <v>88</v>
      </c>
      <c r="C33" s="1" t="n">
        <v>56.6</v>
      </c>
      <c r="D33" s="6" t="b">
        <f aca="false">FALSE()</f>
        <v>0</v>
      </c>
      <c r="E33" s="6" t="b">
        <f aca="false">FALSE()</f>
        <v>0</v>
      </c>
      <c r="F33" s="1" t="n">
        <v>22.109375</v>
      </c>
      <c r="G33" s="1" t="n">
        <v>20</v>
      </c>
      <c r="H33" s="1" t="n">
        <v>0.5</v>
      </c>
      <c r="I33" s="1" t="n">
        <v>18.9</v>
      </c>
      <c r="J33" s="1" t="n">
        <v>131</v>
      </c>
      <c r="K33" s="1" t="n">
        <v>86</v>
      </c>
      <c r="L33" s="1" t="n">
        <v>187</v>
      </c>
      <c r="M33" s="1" t="n">
        <v>13.3639133956386</v>
      </c>
      <c r="N33" s="6" t="b">
        <f aca="false">FALSE()</f>
        <v>0</v>
      </c>
      <c r="O33" s="7" t="b">
        <f aca="false">FALSE()</f>
        <v>0</v>
      </c>
      <c r="P33" s="1" t="n">
        <v>3</v>
      </c>
      <c r="Q33" s="1" t="n">
        <v>5</v>
      </c>
    </row>
    <row r="34" customFormat="false" ht="15" hidden="false" customHeight="false" outlineLevel="0" collapsed="false">
      <c r="A34" s="1" t="s">
        <v>50</v>
      </c>
      <c r="B34" s="1" t="n">
        <v>92</v>
      </c>
      <c r="C34" s="1" t="n">
        <v>84.1</v>
      </c>
      <c r="D34" s="6" t="b">
        <f aca="false">FALSE()</f>
        <v>0</v>
      </c>
      <c r="E34" s="6" t="b">
        <f aca="false">TRUE()</f>
        <v>1</v>
      </c>
      <c r="F34" s="1" t="n">
        <v>29.797335600907</v>
      </c>
      <c r="G34" s="1" t="n">
        <v>21</v>
      </c>
      <c r="H34" s="1" t="n">
        <v>0.5</v>
      </c>
      <c r="I34" s="1" t="n">
        <v>18.2</v>
      </c>
      <c r="J34" s="1" t="n">
        <v>239</v>
      </c>
      <c r="K34" s="1" t="n">
        <v>71</v>
      </c>
      <c r="L34" s="1" t="n">
        <v>326</v>
      </c>
      <c r="M34" s="1" t="n">
        <v>24.3068514986376</v>
      </c>
      <c r="N34" s="6" t="b">
        <f aca="false">FALSE()</f>
        <v>0</v>
      </c>
      <c r="O34" s="7" t="b">
        <f aca="false">FALSE()</f>
        <v>0</v>
      </c>
      <c r="P34" s="1" t="n">
        <v>2</v>
      </c>
      <c r="Q34" s="1" t="n">
        <v>5.5</v>
      </c>
    </row>
    <row r="35" customFormat="false" ht="15" hidden="false" customHeight="false" outlineLevel="0" collapsed="false">
      <c r="A35" s="8" t="s">
        <v>51</v>
      </c>
      <c r="B35" s="1" t="n">
        <v>88</v>
      </c>
      <c r="C35" s="1" t="n">
        <v>37.8</v>
      </c>
      <c r="D35" s="6" t="b">
        <f aca="false">TRUE()</f>
        <v>1</v>
      </c>
      <c r="E35" s="6" t="b">
        <f aca="false">FALSE()</f>
        <v>0</v>
      </c>
      <c r="F35" s="1" t="n">
        <v>17.0262600783749</v>
      </c>
      <c r="G35" s="1" t="n">
        <v>13</v>
      </c>
      <c r="H35" s="1" t="n">
        <v>0.68</v>
      </c>
      <c r="I35" s="1" t="n">
        <v>12.6</v>
      </c>
      <c r="J35" s="1" t="n">
        <v>118</v>
      </c>
      <c r="K35" s="1" t="n">
        <v>66</v>
      </c>
      <c r="L35" s="1" t="n">
        <v>151</v>
      </c>
      <c r="M35" s="1" t="n">
        <v>9.74058969849246</v>
      </c>
      <c r="N35" s="6" t="b">
        <f aca="false">TRUE()</f>
        <v>1</v>
      </c>
      <c r="O35" s="7" t="b">
        <f aca="false">TRUE()</f>
        <v>1</v>
      </c>
      <c r="P35" s="1" t="n">
        <v>2</v>
      </c>
      <c r="Q35" s="1" t="n">
        <v>3</v>
      </c>
    </row>
    <row r="36" customFormat="false" ht="15" hidden="false" customHeight="false" outlineLevel="0" collapsed="false">
      <c r="A36" s="8" t="s">
        <v>52</v>
      </c>
      <c r="B36" s="1" t="n">
        <v>80</v>
      </c>
      <c r="C36" s="1" t="n">
        <v>49</v>
      </c>
      <c r="D36" s="6" t="b">
        <f aca="false">FALSE()</f>
        <v>0</v>
      </c>
      <c r="E36" s="6" t="b">
        <f aca="false">FALSE()</f>
        <v>0</v>
      </c>
      <c r="F36" s="1" t="n">
        <v>17.9981634527089</v>
      </c>
      <c r="G36" s="1" t="n">
        <v>16.5</v>
      </c>
      <c r="H36" s="1" t="n">
        <v>0.57</v>
      </c>
      <c r="I36" s="1" t="n">
        <v>10.9</v>
      </c>
      <c r="J36" s="1" t="n">
        <v>160</v>
      </c>
      <c r="K36" s="1" t="n">
        <v>68</v>
      </c>
      <c r="L36" s="1" t="n">
        <v>145</v>
      </c>
      <c r="M36" s="1" t="n">
        <v>13.0431621342513</v>
      </c>
      <c r="N36" s="6" t="b">
        <f aca="false">TRUE()</f>
        <v>1</v>
      </c>
      <c r="O36" s="7" t="b">
        <f aca="false">FALSE()</f>
        <v>0</v>
      </c>
      <c r="P36" s="1" t="n">
        <v>7</v>
      </c>
      <c r="Q36" s="1" t="n">
        <v>5</v>
      </c>
    </row>
    <row r="37" customFormat="false" ht="14.9" hidden="false" customHeight="false" outlineLevel="0" collapsed="false">
      <c r="A37" s="1" t="s">
        <v>53</v>
      </c>
      <c r="B37" s="1" t="n">
        <v>82</v>
      </c>
      <c r="C37" s="1" t="n">
        <v>83.8</v>
      </c>
      <c r="D37" s="6" t="b">
        <f aca="false">TRUE()</f>
        <v>1</v>
      </c>
      <c r="E37" s="6" t="b">
        <f aca="false">TRUE()</f>
        <v>1</v>
      </c>
      <c r="F37" s="1" t="n">
        <v>30.4107998258093</v>
      </c>
      <c r="G37" s="1" t="n">
        <v>21.5</v>
      </c>
      <c r="H37" s="1" t="n">
        <v>1.05</v>
      </c>
      <c r="I37" s="1" t="n">
        <v>26.4</v>
      </c>
      <c r="K37" s="1" t="n">
        <v>147</v>
      </c>
      <c r="L37" s="1" t="n">
        <v>357</v>
      </c>
      <c r="M37" s="1" t="n">
        <v>23.1067725888325</v>
      </c>
      <c r="N37" s="6" t="b">
        <f aca="false">FALSE()</f>
        <v>0</v>
      </c>
      <c r="P37" s="1" t="n">
        <v>3</v>
      </c>
      <c r="Q37" s="1" t="n">
        <v>5.5</v>
      </c>
      <c r="R37" s="9" t="s">
        <v>37</v>
      </c>
    </row>
    <row r="38" customFormat="false" ht="15" hidden="false" customHeight="false" outlineLevel="0" collapsed="false">
      <c r="A38" s="8" t="s">
        <v>54</v>
      </c>
      <c r="B38" s="1" t="n">
        <v>90</v>
      </c>
      <c r="C38" s="1" t="n">
        <v>66.8</v>
      </c>
      <c r="D38" s="6" t="b">
        <f aca="false">FALSE()</f>
        <v>0</v>
      </c>
      <c r="E38" s="6" t="b">
        <f aca="false">FALSE()</f>
        <v>0</v>
      </c>
      <c r="F38" s="1" t="n">
        <v>29.6888888888889</v>
      </c>
      <c r="G38" s="1" t="n">
        <v>21</v>
      </c>
      <c r="H38" s="1" t="n">
        <v>1.05</v>
      </c>
      <c r="I38" s="1" t="n">
        <v>15.9</v>
      </c>
      <c r="J38" s="1" t="n">
        <v>112</v>
      </c>
      <c r="K38" s="1" t="n">
        <v>70</v>
      </c>
      <c r="L38" s="1" t="n">
        <v>225</v>
      </c>
      <c r="M38" s="1" t="n">
        <v>13.1720918604651</v>
      </c>
      <c r="N38" s="6" t="b">
        <f aca="false">TRUE()</f>
        <v>1</v>
      </c>
      <c r="O38" s="7" t="b">
        <f aca="false">TRUE()</f>
        <v>1</v>
      </c>
      <c r="P38" s="1" t="n">
        <v>3</v>
      </c>
      <c r="Q38" s="1" t="n">
        <v>5.5</v>
      </c>
    </row>
    <row r="39" customFormat="false" ht="15" hidden="false" customHeight="false" outlineLevel="0" collapsed="false">
      <c r="A39" s="1" t="s">
        <v>55</v>
      </c>
      <c r="B39" s="1" t="n">
        <v>77</v>
      </c>
      <c r="C39" s="1" t="n">
        <v>77.6</v>
      </c>
      <c r="D39" s="6" t="b">
        <f aca="false">FALSE()</f>
        <v>0</v>
      </c>
      <c r="E39" s="6" t="b">
        <f aca="false">TRUE()</f>
        <v>1</v>
      </c>
      <c r="F39" s="1" t="n">
        <v>25.051652892562</v>
      </c>
      <c r="G39" s="1" t="n">
        <v>25</v>
      </c>
      <c r="H39" s="1" t="n">
        <v>0.2</v>
      </c>
      <c r="I39" s="1" t="n">
        <v>25.6</v>
      </c>
      <c r="J39" s="1" t="n">
        <v>221</v>
      </c>
      <c r="K39" s="1" t="n">
        <v>145</v>
      </c>
      <c r="L39" s="1" t="n">
        <v>334</v>
      </c>
      <c r="M39" s="1" t="n">
        <v>23.0091826086957</v>
      </c>
      <c r="N39" s="6" t="b">
        <f aca="false">FALSE()</f>
        <v>0</v>
      </c>
      <c r="O39" s="7" t="b">
        <f aca="false">FALSE()</f>
        <v>0</v>
      </c>
      <c r="P39" s="1" t="n">
        <v>3</v>
      </c>
      <c r="Q39" s="1" t="n">
        <v>5.5</v>
      </c>
    </row>
    <row r="40" customFormat="false" ht="15" hidden="false" customHeight="false" outlineLevel="0" collapsed="false">
      <c r="A40" s="8" t="s">
        <v>56</v>
      </c>
      <c r="B40" s="1" t="n">
        <v>88</v>
      </c>
      <c r="C40" s="1" t="n">
        <v>48.7</v>
      </c>
      <c r="D40" s="6" t="b">
        <f aca="false">FALSE()</f>
        <v>0</v>
      </c>
      <c r="E40" s="6" t="b">
        <f aca="false">FALSE()</f>
        <v>0</v>
      </c>
      <c r="F40" s="1" t="n">
        <v>21.9359488311337</v>
      </c>
      <c r="G40" s="1" t="n">
        <v>19</v>
      </c>
      <c r="H40" s="1" t="n">
        <v>0.95</v>
      </c>
      <c r="I40" s="1" t="n">
        <v>12.8</v>
      </c>
      <c r="J40" s="1" t="n">
        <v>142</v>
      </c>
      <c r="K40" s="1" t="n">
        <v>82</v>
      </c>
      <c r="L40" s="1" t="n">
        <v>148</v>
      </c>
      <c r="M40" s="1" t="n">
        <v>10.5919247694335</v>
      </c>
      <c r="N40" s="6" t="b">
        <f aca="false">TRUE()</f>
        <v>1</v>
      </c>
      <c r="O40" s="7" t="b">
        <f aca="false">TRUE()</f>
        <v>1</v>
      </c>
      <c r="P40" s="1" t="n">
        <v>1</v>
      </c>
      <c r="Q40" s="1" t="n">
        <v>1</v>
      </c>
    </row>
    <row r="41" customFormat="false" ht="15" hidden="false" customHeight="false" outlineLevel="0" collapsed="false">
      <c r="A41" s="1" t="s">
        <v>57</v>
      </c>
      <c r="B41" s="1" t="n">
        <v>86</v>
      </c>
      <c r="C41" s="1" t="n">
        <v>67.6</v>
      </c>
      <c r="D41" s="6" t="b">
        <f aca="false">FALSE()</f>
        <v>0</v>
      </c>
      <c r="E41" s="6" t="b">
        <f aca="false">FALSE()</f>
        <v>0</v>
      </c>
      <c r="F41" s="1" t="n">
        <v>26.40625</v>
      </c>
      <c r="G41" s="1" t="n">
        <v>25.5</v>
      </c>
      <c r="H41" s="1" t="n">
        <v>0.74</v>
      </c>
      <c r="I41" s="1" t="n">
        <v>13.5</v>
      </c>
      <c r="J41" s="1" t="n">
        <v>185</v>
      </c>
      <c r="K41" s="1" t="n">
        <v>84</v>
      </c>
      <c r="L41" s="1" t="n">
        <v>271</v>
      </c>
      <c r="M41" s="1" t="n">
        <v>15.4897283018868</v>
      </c>
      <c r="N41" s="6" t="b">
        <f aca="false">FALSE()</f>
        <v>0</v>
      </c>
      <c r="O41" s="7" t="b">
        <f aca="false">FALSE()</f>
        <v>0</v>
      </c>
      <c r="P41" s="1" t="n">
        <v>3</v>
      </c>
      <c r="Q41" s="1" t="n">
        <v>5</v>
      </c>
    </row>
    <row r="42" customFormat="false" ht="15" hidden="false" customHeight="false" outlineLevel="0" collapsed="false">
      <c r="A42" s="8" t="s">
        <v>58</v>
      </c>
      <c r="B42" s="1" t="n">
        <v>92</v>
      </c>
      <c r="C42" s="1" t="n">
        <v>46</v>
      </c>
      <c r="D42" s="6" t="b">
        <f aca="false">TRUE()</f>
        <v>1</v>
      </c>
      <c r="E42" s="6" t="b">
        <f aca="false">FALSE()</f>
        <v>0</v>
      </c>
      <c r="F42" s="1" t="n">
        <v>21.8787158145065</v>
      </c>
      <c r="G42" s="1" t="n">
        <v>15.5</v>
      </c>
      <c r="H42" s="1" t="n">
        <v>0.2</v>
      </c>
      <c r="I42" s="1" t="n">
        <v>8.9</v>
      </c>
      <c r="J42" s="1" t="n">
        <v>129</v>
      </c>
      <c r="K42" s="1" t="n">
        <v>89</v>
      </c>
      <c r="L42" s="1" t="n">
        <v>164</v>
      </c>
      <c r="M42" s="1" t="n">
        <v>9.80192258916777</v>
      </c>
      <c r="N42" s="6" t="b">
        <f aca="false">TRUE()</f>
        <v>1</v>
      </c>
      <c r="O42" s="7" t="b">
        <f aca="false">TRUE()</f>
        <v>1</v>
      </c>
      <c r="P42" s="1" t="n">
        <v>3</v>
      </c>
      <c r="Q42" s="1" t="n">
        <v>4</v>
      </c>
    </row>
    <row r="43" customFormat="false" ht="15" hidden="false" customHeight="false" outlineLevel="0" collapsed="false">
      <c r="A43" s="8" t="s">
        <v>59</v>
      </c>
      <c r="B43" s="1" t="n">
        <v>91</v>
      </c>
      <c r="C43" s="1" t="n">
        <v>60</v>
      </c>
      <c r="D43" s="1" t="b">
        <f aca="false">FALSE()</f>
        <v>0</v>
      </c>
      <c r="E43" s="1" t="b">
        <f aca="false">FALSE()</f>
        <v>0</v>
      </c>
      <c r="F43" s="1" t="n">
        <v>24.9739854318418</v>
      </c>
      <c r="G43" s="1" t="n">
        <v>21</v>
      </c>
      <c r="H43" s="1" t="n">
        <v>0.75</v>
      </c>
      <c r="I43" s="1" t="n">
        <v>12.9</v>
      </c>
      <c r="J43" s="1" t="n">
        <v>119</v>
      </c>
      <c r="K43" s="1" t="n">
        <v>97</v>
      </c>
      <c r="L43" s="1" t="n">
        <v>226</v>
      </c>
      <c r="M43" s="1" t="n">
        <v>13.7593025728988</v>
      </c>
      <c r="N43" s="6" t="b">
        <f aca="false">TRUE()</f>
        <v>1</v>
      </c>
      <c r="O43" s="2" t="b">
        <f aca="false">TRUE()</f>
        <v>1</v>
      </c>
      <c r="P43" s="1" t="n">
        <v>2</v>
      </c>
      <c r="Q43" s="1" t="n">
        <v>6</v>
      </c>
    </row>
    <row r="44" customFormat="false" ht="15" hidden="false" customHeight="false" outlineLevel="0" collapsed="false">
      <c r="A44" s="8" t="s">
        <v>60</v>
      </c>
      <c r="B44" s="1" t="n">
        <v>89</v>
      </c>
      <c r="C44" s="1" t="n">
        <v>64.6</v>
      </c>
      <c r="D44" s="1" t="b">
        <f aca="false">FALSE()</f>
        <v>0</v>
      </c>
      <c r="E44" s="1" t="b">
        <f aca="false">FALSE()</f>
        <v>0</v>
      </c>
      <c r="F44" s="1" t="n">
        <v>30.7253269916766</v>
      </c>
      <c r="G44" s="1" t="n">
        <v>26</v>
      </c>
      <c r="H44" s="1" t="n">
        <v>0.57</v>
      </c>
      <c r="I44" s="1" t="n">
        <v>13</v>
      </c>
      <c r="J44" s="1" t="n">
        <v>144</v>
      </c>
      <c r="K44" s="1" t="n">
        <v>79</v>
      </c>
      <c r="L44" s="1" t="n">
        <v>175</v>
      </c>
      <c r="M44" s="1" t="n">
        <v>14.3961601577909</v>
      </c>
      <c r="N44" s="6" t="b">
        <f aca="false">TRUE()</f>
        <v>1</v>
      </c>
      <c r="O44" s="2" t="b">
        <f aca="false">TRUE()</f>
        <v>1</v>
      </c>
      <c r="P44" s="1" t="n">
        <v>1</v>
      </c>
      <c r="Q44" s="1" t="n">
        <v>6</v>
      </c>
    </row>
    <row r="45" customFormat="false" ht="15" hidden="false" customHeight="false" outlineLevel="0" collapsed="false">
      <c r="A45" s="1" t="s">
        <v>61</v>
      </c>
      <c r="B45" s="1" t="n">
        <v>89</v>
      </c>
      <c r="C45" s="1" t="n">
        <v>57.6</v>
      </c>
      <c r="D45" s="1" t="b">
        <f aca="false">FALSE()</f>
        <v>0</v>
      </c>
      <c r="E45" s="1" t="b">
        <f aca="false">FALSE()</f>
        <v>0</v>
      </c>
      <c r="F45" s="1" t="n">
        <v>23.6686390532544</v>
      </c>
      <c r="G45" s="1" t="n">
        <v>24</v>
      </c>
      <c r="H45" s="1" t="n">
        <v>0.8</v>
      </c>
      <c r="I45" s="1" t="n">
        <v>16</v>
      </c>
      <c r="J45" s="1" t="n">
        <v>115</v>
      </c>
      <c r="K45" s="1" t="n">
        <v>73</v>
      </c>
      <c r="L45" s="1" t="n">
        <v>112</v>
      </c>
      <c r="M45" s="1" t="n">
        <v>12.6830171428571</v>
      </c>
      <c r="N45" s="6" t="b">
        <f aca="false">FALSE()</f>
        <v>0</v>
      </c>
      <c r="O45" s="2" t="b">
        <f aca="false">FALSE()</f>
        <v>0</v>
      </c>
      <c r="P45" s="1" t="n">
        <v>1</v>
      </c>
      <c r="Q45" s="1" t="n">
        <v>6</v>
      </c>
    </row>
    <row r="46" customFormat="false" ht="14.9" hidden="false" customHeight="false" outlineLevel="0" collapsed="false">
      <c r="A46" s="1" t="s">
        <v>62</v>
      </c>
      <c r="B46" s="1" t="n">
        <v>89</v>
      </c>
      <c r="C46" s="1" t="n">
        <v>57.3</v>
      </c>
      <c r="D46" s="1" t="b">
        <f aca="false">TRUE()</f>
        <v>1</v>
      </c>
      <c r="E46" s="1" t="b">
        <f aca="false">FALSE()</f>
        <v>0</v>
      </c>
      <c r="F46" s="1" t="n">
        <v>19.8269896193772</v>
      </c>
      <c r="G46" s="1" t="n">
        <v>11.5</v>
      </c>
      <c r="H46" s="1" t="n">
        <v>0.5</v>
      </c>
      <c r="I46" s="1" t="n">
        <v>17</v>
      </c>
      <c r="K46" s="1" t="n">
        <v>118</v>
      </c>
      <c r="M46" s="1" t="n">
        <v>16.8258388429752</v>
      </c>
      <c r="N46" s="6" t="b">
        <f aca="false">FALSE()</f>
        <v>0</v>
      </c>
      <c r="O46" s="2" t="b">
        <f aca="false">FALSE()</f>
        <v>0</v>
      </c>
      <c r="P46" s="1" t="n">
        <v>3</v>
      </c>
      <c r="Q46" s="1" t="n">
        <v>5.5</v>
      </c>
      <c r="R46" s="9" t="s">
        <v>37</v>
      </c>
    </row>
    <row r="47" customFormat="false" ht="15" hidden="false" customHeight="false" outlineLevel="0" collapsed="false">
      <c r="A47" s="8" t="s">
        <v>63</v>
      </c>
      <c r="B47" s="1" t="n">
        <v>87</v>
      </c>
      <c r="C47" s="1" t="n">
        <v>71.3</v>
      </c>
      <c r="D47" s="1" t="b">
        <f aca="false">FALSE()</f>
        <v>0</v>
      </c>
      <c r="E47" s="1" t="b">
        <f aca="false">TRUE()</f>
        <v>1</v>
      </c>
      <c r="F47" s="1" t="n">
        <v>27.8515625</v>
      </c>
      <c r="G47" s="1" t="n">
        <v>19.5</v>
      </c>
      <c r="H47" s="1" t="n">
        <v>0.4</v>
      </c>
      <c r="I47" s="1" t="n">
        <v>16.4</v>
      </c>
      <c r="J47" s="1" t="n">
        <v>140</v>
      </c>
      <c r="K47" s="1" t="n">
        <v>92</v>
      </c>
      <c r="L47" s="1" t="n">
        <v>221</v>
      </c>
      <c r="M47" s="1" t="n">
        <v>19.4937161137441</v>
      </c>
      <c r="N47" s="6" t="b">
        <f aca="false">TRUE()</f>
        <v>1</v>
      </c>
      <c r="O47" s="2" t="b">
        <f aca="false">TRUE()</f>
        <v>1</v>
      </c>
      <c r="P47" s="1" t="n">
        <v>8</v>
      </c>
      <c r="Q47" s="1" t="n">
        <v>4</v>
      </c>
    </row>
    <row r="48" customFormat="false" ht="15" hidden="false" customHeight="false" outlineLevel="0" collapsed="false">
      <c r="A48" s="8" t="s">
        <v>64</v>
      </c>
      <c r="B48" s="1" t="n">
        <v>92</v>
      </c>
      <c r="C48" s="1" t="n">
        <v>47.2</v>
      </c>
      <c r="D48" s="1" t="b">
        <f aca="false">FALSE()</f>
        <v>0</v>
      </c>
      <c r="E48" s="1" t="b">
        <f aca="false">TRUE()</f>
        <v>1</v>
      </c>
      <c r="F48" s="1" t="n">
        <v>17.3370064279155</v>
      </c>
      <c r="G48" s="1" t="n">
        <v>11.5</v>
      </c>
      <c r="I48" s="1" t="n">
        <v>13.7</v>
      </c>
      <c r="J48" s="1" t="n">
        <v>137</v>
      </c>
      <c r="K48" s="1" t="n">
        <v>78</v>
      </c>
      <c r="L48" s="1" t="n">
        <v>140</v>
      </c>
      <c r="M48" s="1" t="n">
        <v>17.515786998088</v>
      </c>
      <c r="N48" s="6" t="b">
        <f aca="false">TRUE()</f>
        <v>1</v>
      </c>
      <c r="O48" s="2" t="b">
        <f aca="false">TRUE()</f>
        <v>1</v>
      </c>
      <c r="P48" s="1" t="n">
        <v>7</v>
      </c>
      <c r="Q48" s="1" t="n">
        <v>4.5</v>
      </c>
    </row>
    <row r="49" customFormat="false" ht="15" hidden="false" customHeight="false" outlineLevel="0" collapsed="false">
      <c r="A49" s="1" t="s">
        <v>65</v>
      </c>
      <c r="B49" s="1" t="n">
        <v>87</v>
      </c>
      <c r="C49" s="1" t="n">
        <v>75.9</v>
      </c>
      <c r="D49" s="1" t="b">
        <f aca="false">TRUE()</f>
        <v>1</v>
      </c>
      <c r="E49" s="1" t="b">
        <f aca="false">TRUE()</f>
        <v>1</v>
      </c>
      <c r="F49" s="1" t="n">
        <v>26.2629757785467</v>
      </c>
      <c r="G49" s="1" t="n">
        <v>16.5</v>
      </c>
      <c r="H49" s="1" t="n">
        <v>0.11</v>
      </c>
      <c r="I49" s="1" t="n">
        <v>23.1</v>
      </c>
      <c r="J49" s="1" t="n">
        <v>197</v>
      </c>
      <c r="K49" s="1" t="n">
        <v>73</v>
      </c>
      <c r="L49" s="1" t="n">
        <v>234</v>
      </c>
      <c r="M49" s="1" t="n">
        <v>20.932</v>
      </c>
      <c r="N49" s="6" t="b">
        <f aca="false">FALSE()</f>
        <v>0</v>
      </c>
      <c r="O49" s="2" t="b">
        <f aca="false">FALSE()</f>
        <v>0</v>
      </c>
      <c r="P49" s="1" t="n">
        <v>0</v>
      </c>
      <c r="Q49" s="1" t="n">
        <v>4.5</v>
      </c>
    </row>
    <row r="50" customFormat="false" ht="15" hidden="false" customHeight="false" outlineLevel="0" collapsed="false">
      <c r="A50" s="8" t="s">
        <v>66</v>
      </c>
      <c r="B50" s="1" t="n">
        <v>75</v>
      </c>
      <c r="C50" s="1" t="n">
        <v>63.9</v>
      </c>
      <c r="D50" s="1" t="b">
        <f aca="false">FALSE()</f>
        <v>0</v>
      </c>
      <c r="E50" s="1" t="b">
        <f aca="false">FALSE()</f>
        <v>0</v>
      </c>
      <c r="F50" s="1" t="n">
        <v>21.3505295866885</v>
      </c>
      <c r="G50" s="1" t="n">
        <v>18.5</v>
      </c>
      <c r="I50" s="1" t="n">
        <v>12.7</v>
      </c>
      <c r="J50" s="1" t="n">
        <v>138</v>
      </c>
      <c r="K50" s="1" t="n">
        <v>102</v>
      </c>
      <c r="L50" s="1" t="n">
        <v>250</v>
      </c>
      <c r="M50" s="1" t="n">
        <v>13.94025</v>
      </c>
      <c r="N50" s="6" t="b">
        <f aca="false">TRUE()</f>
        <v>1</v>
      </c>
      <c r="O50" s="2" t="b">
        <f aca="false">TRUE()</f>
        <v>1</v>
      </c>
      <c r="P50" s="1" t="n">
        <v>4</v>
      </c>
      <c r="Q50" s="1" t="n">
        <v>4</v>
      </c>
    </row>
    <row r="51" customFormat="false" ht="15" hidden="false" customHeight="false" outlineLevel="0" collapsed="false">
      <c r="A51" s="1" t="s">
        <v>67</v>
      </c>
      <c r="B51" s="1" t="n">
        <v>84</v>
      </c>
      <c r="C51" s="1" t="n">
        <v>67.6</v>
      </c>
      <c r="D51" s="1" t="b">
        <f aca="false">FALSE()</f>
        <v>0</v>
      </c>
      <c r="E51" s="1" t="b">
        <f aca="false">TRUE()</f>
        <v>1</v>
      </c>
      <c r="F51" s="1" t="n">
        <v>24.8301193755739</v>
      </c>
      <c r="G51" s="1" t="n">
        <v>23.5</v>
      </c>
      <c r="H51" s="1" t="n">
        <v>0.73</v>
      </c>
      <c r="I51" s="1" t="n">
        <v>25.8</v>
      </c>
      <c r="J51" s="1" t="n">
        <v>205</v>
      </c>
      <c r="K51" s="1" t="n">
        <v>140</v>
      </c>
      <c r="L51" s="1" t="n">
        <v>281</v>
      </c>
      <c r="M51" s="1" t="n">
        <v>22.1706068062827</v>
      </c>
      <c r="N51" s="6" t="b">
        <f aca="false">FALSE()</f>
        <v>0</v>
      </c>
      <c r="O51" s="2" t="b">
        <f aca="false">FALSE()</f>
        <v>0</v>
      </c>
      <c r="P51" s="1" t="n">
        <v>7</v>
      </c>
      <c r="Q51" s="1" t="n">
        <v>5</v>
      </c>
    </row>
    <row r="52" customFormat="false" ht="15" hidden="false" customHeight="false" outlineLevel="0" collapsed="false">
      <c r="A52" s="1" t="s">
        <v>68</v>
      </c>
      <c r="B52" s="1" t="n">
        <v>89</v>
      </c>
      <c r="C52" s="1" t="n">
        <v>49</v>
      </c>
      <c r="D52" s="1" t="b">
        <f aca="false">FALSE()</f>
        <v>0</v>
      </c>
      <c r="E52" s="1" t="b">
        <f aca="false">FALSE()</f>
        <v>0</v>
      </c>
      <c r="F52" s="1" t="n">
        <v>19.6282647011697</v>
      </c>
      <c r="G52" s="1" t="n">
        <v>24</v>
      </c>
      <c r="H52" s="1" t="n">
        <v>0.4</v>
      </c>
      <c r="I52" s="1" t="n">
        <v>16.8</v>
      </c>
      <c r="J52" s="1" t="n">
        <v>114</v>
      </c>
      <c r="K52" s="1" t="n">
        <v>66</v>
      </c>
      <c r="L52" s="1" t="n">
        <v>138</v>
      </c>
      <c r="M52" s="1" t="n">
        <v>11.89421875</v>
      </c>
      <c r="N52" s="6" t="b">
        <f aca="false">FALSE()</f>
        <v>0</v>
      </c>
      <c r="O52" s="2" t="b">
        <f aca="false">FALSE()</f>
        <v>0</v>
      </c>
      <c r="P52" s="1" t="n">
        <v>4</v>
      </c>
      <c r="Q52" s="1" t="n">
        <v>5</v>
      </c>
    </row>
    <row r="53" customFormat="false" ht="15" hidden="false" customHeight="false" outlineLevel="0" collapsed="false">
      <c r="A53" s="10" t="s">
        <v>69</v>
      </c>
      <c r="B53" s="10" t="n">
        <v>82</v>
      </c>
      <c r="C53" s="10" t="n">
        <v>77.6</v>
      </c>
      <c r="D53" s="10" t="b">
        <f aca="false">TRUE()</f>
        <v>1</v>
      </c>
      <c r="E53" s="10" t="b">
        <f aca="false">TRUE()</f>
        <v>1</v>
      </c>
      <c r="F53" s="10" t="n">
        <v>22.6734842951059</v>
      </c>
      <c r="G53" s="10" t="n">
        <v>16</v>
      </c>
      <c r="H53" s="10" t="n">
        <v>0.42</v>
      </c>
      <c r="I53" s="10" t="n">
        <v>19.8</v>
      </c>
      <c r="J53" s="10" t="n">
        <v>213</v>
      </c>
      <c r="K53" s="10" t="n">
        <v>140</v>
      </c>
      <c r="L53" s="10" t="n">
        <v>288</v>
      </c>
      <c r="M53" s="10"/>
      <c r="N53" s="11"/>
      <c r="O53" s="2" t="b">
        <f aca="false">FALSE()</f>
        <v>0</v>
      </c>
      <c r="P53" s="10" t="n">
        <v>8</v>
      </c>
      <c r="Q53" s="10" t="n">
        <v>4</v>
      </c>
    </row>
    <row r="54" customFormat="false" ht="15" hidden="false" customHeight="false" outlineLevel="0" collapsed="false">
      <c r="A54" s="8" t="s">
        <v>70</v>
      </c>
      <c r="B54" s="1" t="n">
        <v>98</v>
      </c>
      <c r="C54" s="1" t="n">
        <v>37.6</v>
      </c>
      <c r="D54" s="1" t="b">
        <f aca="false">FALSE()</f>
        <v>0</v>
      </c>
      <c r="E54" s="1" t="b">
        <f aca="false">FALSE()</f>
        <v>0</v>
      </c>
      <c r="F54" s="1" t="n">
        <v>17.4001573418483</v>
      </c>
      <c r="G54" s="1" t="n">
        <v>18</v>
      </c>
      <c r="H54" s="1" t="n">
        <v>0.47</v>
      </c>
      <c r="I54" s="1" t="n">
        <v>10.9</v>
      </c>
      <c r="J54" s="1" t="n">
        <v>101</v>
      </c>
      <c r="K54" s="1" t="n">
        <v>72</v>
      </c>
      <c r="L54" s="1" t="n">
        <v>133</v>
      </c>
      <c r="M54" s="1" t="n">
        <v>8.52194170984456</v>
      </c>
      <c r="N54" s="6" t="b">
        <f aca="false">TRUE()</f>
        <v>1</v>
      </c>
      <c r="O54" s="2" t="b">
        <f aca="false">TRUE()</f>
        <v>1</v>
      </c>
      <c r="P54" s="1" t="n">
        <v>2</v>
      </c>
      <c r="Q54" s="1" t="n">
        <v>1</v>
      </c>
    </row>
    <row r="55" customFormat="false" ht="15" hidden="false" customHeight="false" outlineLevel="0" collapsed="false">
      <c r="A55" s="1" t="s">
        <v>71</v>
      </c>
      <c r="B55" s="1" t="n">
        <v>84</v>
      </c>
      <c r="C55" s="1" t="n">
        <v>66.2</v>
      </c>
      <c r="D55" s="1" t="b">
        <f aca="false">FALSE()</f>
        <v>0</v>
      </c>
      <c r="E55" s="1" t="b">
        <f aca="false">FALSE()</f>
        <v>0</v>
      </c>
      <c r="F55" s="1" t="n">
        <v>26.857073309262</v>
      </c>
      <c r="G55" s="1" t="n">
        <v>23</v>
      </c>
      <c r="H55" s="1" t="n">
        <v>0.31</v>
      </c>
      <c r="I55" s="1" t="n">
        <v>13</v>
      </c>
      <c r="J55" s="1" t="n">
        <v>141</v>
      </c>
      <c r="K55" s="1" t="n">
        <v>96</v>
      </c>
      <c r="M55" s="1" t="n">
        <v>19.1023129476584</v>
      </c>
      <c r="N55" s="6" t="b">
        <f aca="false">FALSE()</f>
        <v>0</v>
      </c>
      <c r="O55" s="2" t="b">
        <f aca="false">TRUE()</f>
        <v>1</v>
      </c>
      <c r="P55" s="1" t="n">
        <v>5</v>
      </c>
      <c r="Q55" s="1" t="n">
        <v>6</v>
      </c>
    </row>
    <row r="56" customFormat="false" ht="15" hidden="false" customHeight="false" outlineLevel="0" collapsed="false">
      <c r="A56" s="8" t="s">
        <v>72</v>
      </c>
      <c r="B56" s="1" t="n">
        <v>90</v>
      </c>
      <c r="C56" s="1" t="n">
        <v>55.3</v>
      </c>
      <c r="D56" s="1" t="b">
        <f aca="false">TRUE()</f>
        <v>1</v>
      </c>
      <c r="E56" s="1" t="b">
        <f aca="false">TRUE()</f>
        <v>1</v>
      </c>
      <c r="F56" s="1" t="n">
        <v>20.3122130394858</v>
      </c>
      <c r="G56" s="1" t="n">
        <v>14</v>
      </c>
      <c r="H56" s="1" t="n">
        <v>0.18</v>
      </c>
      <c r="I56" s="1" t="n">
        <v>14.4</v>
      </c>
      <c r="J56" s="1" t="n">
        <v>177</v>
      </c>
      <c r="K56" s="1" t="n">
        <v>113</v>
      </c>
      <c r="L56" s="1" t="n">
        <v>212</v>
      </c>
      <c r="M56" s="1" t="n">
        <v>15.5515533557047</v>
      </c>
      <c r="N56" s="6" t="b">
        <f aca="false">TRUE()</f>
        <v>1</v>
      </c>
      <c r="O56" s="2" t="b">
        <f aca="false">TRUE()</f>
        <v>1</v>
      </c>
      <c r="P56" s="1" t="n">
        <v>2</v>
      </c>
      <c r="Q56" s="1" t="n">
        <v>5.5</v>
      </c>
    </row>
    <row r="57" customFormat="false" ht="15" hidden="false" customHeight="false" outlineLevel="0" collapsed="false">
      <c r="A57" s="1" t="s">
        <v>73</v>
      </c>
      <c r="B57" s="1" t="n">
        <v>83</v>
      </c>
      <c r="C57" s="1" t="n">
        <v>69.3</v>
      </c>
      <c r="D57" s="1" t="b">
        <f aca="false">TRUE()</f>
        <v>1</v>
      </c>
      <c r="E57" s="1" t="b">
        <f aca="false">FALSE()</f>
        <v>0</v>
      </c>
      <c r="F57" s="1" t="n">
        <v>24.5535714285714</v>
      </c>
      <c r="G57" s="1" t="n">
        <v>22.5</v>
      </c>
      <c r="H57" s="1" t="n">
        <v>0.53</v>
      </c>
      <c r="I57" s="1" t="n">
        <v>21.3</v>
      </c>
      <c r="J57" s="1" t="n">
        <v>180</v>
      </c>
      <c r="K57" s="1" t="n">
        <v>92</v>
      </c>
      <c r="L57" s="1" t="n">
        <v>179</v>
      </c>
      <c r="M57" s="1" t="n">
        <v>19.6437630136986</v>
      </c>
      <c r="N57" s="6" t="b">
        <f aca="false">FALSE()</f>
        <v>0</v>
      </c>
      <c r="O57" s="2" t="b">
        <f aca="false">FALSE()</f>
        <v>0</v>
      </c>
      <c r="P57" s="1" t="n">
        <v>2</v>
      </c>
      <c r="Q57" s="1" t="n">
        <v>5.5</v>
      </c>
    </row>
    <row r="58" customFormat="false" ht="15" hidden="false" customHeight="false" outlineLevel="0" collapsed="false">
      <c r="A58" s="1" t="s">
        <v>74</v>
      </c>
      <c r="B58" s="1" t="n">
        <v>88</v>
      </c>
      <c r="C58" s="1" t="n">
        <v>59.2</v>
      </c>
      <c r="D58" s="1" t="b">
        <f aca="false">FALSE()</f>
        <v>0</v>
      </c>
      <c r="E58" s="1" t="b">
        <f aca="false">FALSE()</f>
        <v>0</v>
      </c>
      <c r="F58" s="1" t="n">
        <v>23.125</v>
      </c>
      <c r="G58" s="1" t="n">
        <v>19</v>
      </c>
      <c r="I58" s="1" t="n">
        <v>16</v>
      </c>
      <c r="J58" s="1" t="n">
        <v>145</v>
      </c>
      <c r="K58" s="1" t="n">
        <v>90</v>
      </c>
      <c r="L58" s="1" t="n">
        <v>205</v>
      </c>
      <c r="M58" s="1" t="n">
        <v>12.2335614730878</v>
      </c>
      <c r="N58" s="6" t="b">
        <f aca="false">FALSE()</f>
        <v>0</v>
      </c>
      <c r="O58" s="2" t="b">
        <f aca="false">FALSE()</f>
        <v>0</v>
      </c>
      <c r="P58" s="1" t="n">
        <v>2</v>
      </c>
      <c r="Q58" s="1" t="n">
        <v>3.5</v>
      </c>
    </row>
    <row r="59" customFormat="false" ht="15" hidden="false" customHeight="false" outlineLevel="0" collapsed="false">
      <c r="A59" s="1" t="s">
        <v>75</v>
      </c>
      <c r="B59" s="1" t="n">
        <v>85</v>
      </c>
      <c r="C59" s="1" t="n">
        <v>64.5</v>
      </c>
      <c r="D59" s="1" t="b">
        <f aca="false">TRUE()</f>
        <v>1</v>
      </c>
      <c r="E59" s="1" t="b">
        <f aca="false">FALSE()</f>
        <v>0</v>
      </c>
      <c r="F59" s="1" t="n">
        <v>23.4068805341849</v>
      </c>
      <c r="G59" s="1" t="n">
        <v>19.5</v>
      </c>
      <c r="H59" s="1" t="n">
        <v>0.8</v>
      </c>
      <c r="I59" s="1" t="n">
        <v>14.7</v>
      </c>
      <c r="J59" s="1" t="n">
        <v>197</v>
      </c>
      <c r="K59" s="1" t="n">
        <v>99</v>
      </c>
      <c r="L59" s="1" t="n">
        <v>221</v>
      </c>
      <c r="M59" s="1" t="n">
        <v>21.309439637827</v>
      </c>
      <c r="N59" s="6" t="b">
        <f aca="false">FALSE()</f>
        <v>0</v>
      </c>
      <c r="O59" s="2" t="b">
        <f aca="false">FALSE()</f>
        <v>0</v>
      </c>
      <c r="P59" s="1" t="n">
        <v>6</v>
      </c>
    </row>
    <row r="60" customFormat="false" ht="15" hidden="false" customHeight="false" outlineLevel="0" collapsed="false">
      <c r="A60" s="1" t="s">
        <v>76</v>
      </c>
      <c r="B60" s="1" t="n">
        <v>84</v>
      </c>
      <c r="C60" s="1" t="n">
        <v>55.7</v>
      </c>
      <c r="D60" s="1" t="b">
        <f aca="false">FALSE()</f>
        <v>0</v>
      </c>
      <c r="E60" s="1" t="b">
        <f aca="false">FALSE()</f>
        <v>0</v>
      </c>
      <c r="F60" s="1" t="n">
        <v>20.9642816816591</v>
      </c>
      <c r="G60" s="1" t="n">
        <v>11.5</v>
      </c>
      <c r="H60" s="1" t="n">
        <v>0.67</v>
      </c>
      <c r="I60" s="1" t="n">
        <v>17.7</v>
      </c>
      <c r="J60" s="1" t="n">
        <v>152</v>
      </c>
      <c r="K60" s="1" t="n">
        <v>98</v>
      </c>
      <c r="L60" s="1" t="n">
        <v>184</v>
      </c>
      <c r="M60" s="1" t="n">
        <v>14.6731092124814</v>
      </c>
      <c r="N60" s="6" t="b">
        <f aca="false">FALSE()</f>
        <v>0</v>
      </c>
      <c r="O60" s="2" t="b">
        <f aca="false">FALSE()</f>
        <v>0</v>
      </c>
      <c r="P60" s="1" t="n">
        <v>0</v>
      </c>
      <c r="Q60" s="1" t="n">
        <v>5.5</v>
      </c>
    </row>
    <row r="61" customFormat="false" ht="15" hidden="false" customHeight="false" outlineLevel="0" collapsed="false">
      <c r="A61" s="1" t="s">
        <v>77</v>
      </c>
      <c r="B61" s="1" t="n">
        <v>89</v>
      </c>
      <c r="C61" s="1" t="n">
        <v>55.9</v>
      </c>
      <c r="D61" s="1" t="b">
        <f aca="false">FALSE()</f>
        <v>0</v>
      </c>
      <c r="E61" s="1" t="b">
        <f aca="false">FALSE()</f>
        <v>0</v>
      </c>
      <c r="F61" s="1" t="n">
        <v>25.1790459889194</v>
      </c>
      <c r="G61" s="1" t="n">
        <v>18</v>
      </c>
      <c r="H61" s="1" t="n">
        <v>0.3</v>
      </c>
      <c r="I61" s="1" t="n">
        <v>14.7</v>
      </c>
      <c r="J61" s="1" t="n">
        <v>176</v>
      </c>
      <c r="K61" s="1" t="n">
        <v>90</v>
      </c>
      <c r="L61" s="1" t="n">
        <v>202</v>
      </c>
      <c r="M61" s="1" t="n">
        <v>15.2193866828087</v>
      </c>
      <c r="N61" s="6" t="b">
        <f aca="false">FALSE()</f>
        <v>0</v>
      </c>
      <c r="O61" s="2" t="b">
        <f aca="false">FALSE()</f>
        <v>0</v>
      </c>
      <c r="P61" s="1" t="n">
        <v>2</v>
      </c>
      <c r="Q61" s="1" t="n">
        <v>2.5</v>
      </c>
    </row>
    <row r="62" customFormat="false" ht="15" hidden="false" customHeight="false" outlineLevel="0" collapsed="false">
      <c r="N62" s="12" t="n">
        <f aca="false">SUM(N2:N61)</f>
        <v>24</v>
      </c>
    </row>
  </sheetData>
  <conditionalFormatting sqref="A2:A3 N2:N61">
    <cfRule type="dataBar" priority="2">
      <dataBar showValue="1" minLength="0" maxLength="100">
        <cfvo type="min" val="0"/>
        <cfvo type="max" val="0"/>
        <color rgb="FF81D41A"/>
      </dataBar>
      <extLst>
        <ext xmlns:x14="http://schemas.microsoft.com/office/spreadsheetml/2009/9/main" uri="{B025F937-C7B1-47D3-B67F-A62EFF666E3E}">
          <x14:id>{6BBC58E0-A580-42B5-BFB0-EB816033E6DA}</x14:id>
        </ext>
      </extLst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BC58E0-A580-42B5-BFB0-EB816033E6DA}">
            <x14:dataBar minLength="0" maxLength="100" axisPosition="automatic" gradient="true">
              <x14:cfvo type="autoMin"/>
              <x14:cfvo type="autoMax"/>
              <x14:negativeFillColor rgb="FFFF6D6D"/>
              <x14:axisColor rgb="FF000000"/>
            </x14:dataBar>
          </x14:cfRule>
          <xm:sqref>A2:A3 N2:N61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496</TotalTime>
  <Application>LibreOffice/7.5.9.2$Linux_X86_64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2025-05-27T12:24:46Z</dcterms:created>
  <dc:creator/>
  <dc:description/>
  <dc:language>en-US</dc:language>
  <cp:lastModifiedBy/>
  <dcterms:modified xsi:type="dcterms:W3CDTF">2025-06-02T15:46:38Z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